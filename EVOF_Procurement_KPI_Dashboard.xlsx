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880b04502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Dashboard" sheetId="1" r:id="R15930666def14c57"/>
    <x:sheet xmlns:r="http://schemas.openxmlformats.org/officeDocument/2006/relationships" name="PO Data" sheetId="2" r:id="Rf8e326f48f594d06"/>
    <x:sheet xmlns:r="http://schemas.openxmlformats.org/officeDocument/2006/relationships" name="Risk Data" sheetId="3" r:id="R361e1c446264476e"/>
    <x:sheet xmlns:r="http://schemas.openxmlformats.org/officeDocument/2006/relationships" name="Supplier Scorecard" sheetId="4" r:id="R8f9b538728f44c26"/>
    <x:sheet xmlns:r="http://schemas.openxmlformats.org/officeDocument/2006/relationships" name="Start Here" sheetId="5" r:id="R92cf9c2f1fdc4e9e"/>
    <x:sheet xmlns:r="http://schemas.openxmlformats.org/officeDocument/2006/relationships" name="Settings" sheetId="6" r:id="R7cc23a5838dd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"/>
    <x:numFmt numFmtId="202" formatCode="0%"/>
    <x:numFmt numFmtId="203" formatCode="$#,##0"/>
    <x:numFmt numFmtId="204" formatCode="0.0%"/>
    <x:numFmt numFmtId="205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5283D"/>
      <x:name val="Carlito"/>
    </x:font>
    <x:font>
      <x:b/>
      <x:sz val="11"/>
      <x:color rgb="FF15283D"/>
      <x:name val="Carlito"/>
    </x:font>
    <x:font>
      <x:b/>
      <x:sz val="22"/>
      <x:color rgb="FF087E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83D"/>
      </x:patternFill>
    </x:fill>
    <x:fill>
      <x:patternFill patternType="solid">
        <x:fgColor rgb="FF087E8B"/>
      </x:patternFill>
    </x:fill>
    <x:fill>
      <x:patternFill patternType="solid">
        <x:fgColor rgb="FFE9F5F6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3" fontId="6" fillId="4" borderId="1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4" fontId="6" fillId="4" borderId="1" xfId="0" applyNumberFormat="1" applyFont="1" applyFill="1" applyBorder="1" applyAlignment="1">
      <x:alignment vertical="center"/>
    </x:xf>
    <x:xf numFmtId="205" fontId="6" fillId="4" borderId="0" xfId="0" applyNumberFormat="1" applyFont="1" applyFill="1" applyBorder="1" applyAlignment="1">
      <x:alignment vertical="center"/>
    </x:xf>
    <x:xf numFmtId="205" fontId="6" fillId="4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1ffe9f3ef461d" /><Relationship Type="http://schemas.openxmlformats.org/officeDocument/2006/relationships/theme" Target="/xl/theme/theme1.xml" Id="Raf1040f59f57465f" /><Relationship Type="http://schemas.openxmlformats.org/officeDocument/2006/relationships/sharedStrings" Target="/xl/sharedStrings.xml" Id="R734f31d0e6884ef2" /><Relationship Type="http://schemas.openxmlformats.org/officeDocument/2006/relationships/worksheet" Target="/xl/worksheets/sheet1.xml" Id="R15930666def14c57" /><Relationship Type="http://schemas.openxmlformats.org/officeDocument/2006/relationships/worksheet" Target="/xl/worksheets/sheet2.xml" Id="Rf8e326f48f594d06" /><Relationship Type="http://schemas.openxmlformats.org/officeDocument/2006/relationships/worksheet" Target="/xl/worksheets/sheet3.xml" Id="R361e1c446264476e" /><Relationship Type="http://schemas.openxmlformats.org/officeDocument/2006/relationships/worksheet" Target="/xl/worksheets/sheet4.xml" Id="R8f9b538728f44c26" /><Relationship Type="http://schemas.openxmlformats.org/officeDocument/2006/relationships/worksheet" Target="/xl/worksheets/sheet5.xml" Id="R92cf9c2f1fdc4e9e" /><Relationship Type="http://schemas.openxmlformats.org/officeDocument/2006/relationships/worksheet" Target="/xl/worksheets/sheet6.xml" Id="R7cc23a5838dd4e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ea956cd64f475d" /><Relationship Type="http://schemas.openxmlformats.org/officeDocument/2006/relationships/chart" Target="/xl/drawings/charts/chart2.xml" Id="Rd0ab164b1e7f496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POs</c:v>
          </c:tx>
          <c:cat>
            <c:strRef>
              <c:f>'KPI Dashboard'!$A$16:$A$18</c:f>
              <c:strCache>
                <c:ptCount val="0"/>
              </c:strCache>
            </c:strRef>
          </c:cat>
          <c:val>
            <c:numRef>
              <c:f>'KPI Dashboard'!$B$16:$B$18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Risks</c:v>
          </c:tx>
          <c:cat>
            <c:strRef>
              <c:f>'KPI Dashboard'!$G$16:$G$19</c:f>
              <c:strCache>
                <c:ptCount val="0"/>
              </c:strCache>
            </c:strRef>
          </c:cat>
          <c:val>
            <c:numRef>
              <c:f>'KPI Dashboard'!$H$16:$H$19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ea956cd64f475d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ab164b1e7f49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8caaea54142b6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6" customHeight="1">
      <x:c r="A1" s="4" t="str">
        <x:v>EVOF | PROCUREMENT KPI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27" t="str">
        <x:v>Operational performance • supplier reliability • delivery exposure • risk management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4" ht="24" customHeight="1">
      <x:c r="A4" s="31" t="str">
        <x:v>Total POs</x:v>
      </x:c>
      <x:c r="B4" s="31"/>
      <x:c r="C4" s="31"/>
      <x:c r="D4" s="31" t="str">
        <x:v>Open POs</x:v>
      </x:c>
      <x:c r="E4" s="31"/>
      <x:c r="F4" s="31"/>
      <x:c r="G4" s="31" t="str">
        <x:v>Open Exposure USD</x:v>
      </x:c>
      <x:c r="H4" s="31"/>
      <x:c r="I4" s="31"/>
      <x:c r="J4" s="31" t="str">
        <x:v>Overdue Open POs</x:v>
      </x:c>
      <x:c r="K4" s="31"/>
      <x:c r="L4" s="31"/>
    </x:row>
    <x:row r="5" ht="25" customHeight="1">
      <x:c r="A5" s="35" t="n">
        <x:f>COUNTA('PO Data'!A4:A103)</x:f>
        <x:v>10</x:v>
      </x:c>
      <x:c r="B5" s="35"/>
      <x:c r="C5" s="35"/>
      <x:c r="D5" s="35" t="n">
        <x:f>COUNTIF('PO Data'!L4:L103,"&gt;0")</x:f>
        <x:v>8</x:v>
      </x:c>
      <x:c r="E5" s="35"/>
      <x:c r="F5" s="35"/>
      <x:c r="G5" s="38" t="n">
        <x:f>SUM('PO Data'!M4:M103)</x:f>
        <x:v>55855</x:v>
      </x:c>
      <x:c r="H5" s="35"/>
      <x:c r="I5" s="35"/>
      <x:c r="J5" s="35" t="n">
        <x:f>COUNTIFS('PO Data'!L4:L103,"&gt;0",'PO Data'!O4:O103,"&gt;0")</x:f>
        <x:v>2</x:v>
      </x:c>
      <x:c r="K5" s="35"/>
      <x:c r="L5" s="35"/>
    </x:row>
    <x:row r="6" ht="25" customHeight="1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</x:row>
    <x:row r="8" ht="24" customHeight="1">
      <x:c r="A8" s="31" t="str">
        <x:v>Receipt Completion</x:v>
      </x:c>
      <x:c r="B8" s="31"/>
      <x:c r="C8" s="31"/>
      <x:c r="D8" s="31" t="str">
        <x:v>Completed POs</x:v>
      </x:c>
      <x:c r="E8" s="31"/>
      <x:c r="F8" s="31"/>
      <x:c r="G8" s="31" t="str">
        <x:v>At-Risk Open POs</x:v>
      </x:c>
      <x:c r="H8" s="31"/>
      <x:c r="I8" s="31"/>
      <x:c r="J8" s="31" t="str">
        <x:v>High / Critical Risks</x:v>
      </x:c>
      <x:c r="K8" s="31"/>
      <x:c r="L8" s="31"/>
    </x:row>
    <x:row r="9" ht="25" customHeight="1">
      <x:c r="A9" s="40" t="n">
        <x:f>IFERROR(SUM('PO Data'!I4:I103)/SUM('PO Data'!H4:H103),0)</x:f>
        <x:v>0.15217391304347827</x:v>
      </x:c>
      <x:c r="B9" s="35"/>
      <x:c r="C9" s="35"/>
      <x:c r="D9" s="42" t="n">
        <x:f>COUNTIF('PO Data'!P4:P103,"Received")</x:f>
        <x:v>2</x:v>
      </x:c>
      <x:c r="E9" s="35"/>
      <x:c r="F9" s="35"/>
      <x:c r="G9" s="35" t="n">
        <x:f>COUNTIFS('PO Data'!L4:L103,"&gt;0",'PO Data'!Q4:Q103,"High")+COUNTIFS('PO Data'!L4:L103,"&gt;0",'PO Data'!Q4:Q103,"Critical")</x:f>
        <x:v>2</x:v>
      </x:c>
      <x:c r="H9" s="35"/>
      <x:c r="I9" s="35"/>
      <x:c r="J9" s="35" t="n">
        <x:f>COUNTIF('Risk Data'!H4:H103,"High")+COUNTIF('Risk Data'!H4:H103,"Critical")</x:f>
        <x:v>4</x:v>
      </x:c>
      <x:c r="K9" s="35"/>
      <x:c r="L9" s="35"/>
    </x:row>
    <x:row r="10" ht="25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</x:row>
    <x:row r="13" ht="24" customHeight="1">
      <x:c r="A13" s="44" t="str">
        <x:v>DELIVERY STATUS MIX</x:v>
      </x:c>
      <x:c r="B13" s="44"/>
      <x:c r="C13" s="44"/>
      <x:c r="D13" s="44"/>
      <x:c r="E13" s="44"/>
      <x:c r="F13" s="44"/>
      <x:c r="G13" s="44" t="str">
        <x:v>RISK PRIORITY MIX</x:v>
      </x:c>
      <x:c r="H13" s="44"/>
      <x:c r="I13" s="44"/>
      <x:c r="J13" s="44"/>
      <x:c r="K13" s="44"/>
      <x:c r="L13" s="44"/>
    </x:row>
    <x:row r="15">
      <x:c r="A15" s="9" t="str">
        <x:v>Status</x:v>
      </x:c>
      <x:c r="B15" s="9" t="str">
        <x:v>Count</x:v>
      </x:c>
      <x:c r="G15" s="9" t="str">
        <x:v>Priority</x:v>
      </x:c>
      <x:c r="H15" s="9" t="str">
        <x:v>Count</x:v>
      </x:c>
    </x:row>
    <x:row r="16">
      <x:c r="A16" t="str">
        <x:v>Received</x:v>
      </x:c>
      <x:c r="B16" t="n">
        <x:f>COUNTIF('PO Data'!$P$4:$P$103,A16)</x:f>
        <x:v>2</x:v>
      </x:c>
      <x:c r="G16" t="str">
        <x:v>Critical</x:v>
      </x:c>
      <x:c r="H16" t="n">
        <x:f>COUNTIF('Risk Data'!$H$4:$H$103,G16)</x:f>
        <x:v>2</x:v>
      </x:c>
    </x:row>
    <x:row r="17">
      <x:c r="A17" t="str">
        <x:v>Partially Received</x:v>
      </x:c>
      <x:c r="B17" t="n">
        <x:f>COUNTIF('PO Data'!$P$4:$P$103,A17)</x:f>
        <x:v>1</x:v>
      </x:c>
      <x:c r="G17" t="str">
        <x:v>High</x:v>
      </x:c>
      <x:c r="H17" t="n">
        <x:f>COUNTIF('Risk Data'!$H$4:$H$103,G17)</x:f>
        <x:v>2</x:v>
      </x:c>
    </x:row>
    <x:row r="18">
      <x:c r="A18" t="str">
        <x:v>Open</x:v>
      </x:c>
      <x:c r="B18" t="n">
        <x:f>COUNTIF('PO Data'!$P$4:$P$103,A18)</x:f>
        <x:v>7</x:v>
      </x:c>
      <x:c r="G18" t="str">
        <x:v>Medium</x:v>
      </x:c>
      <x:c r="H18" t="n">
        <x:f>COUNTIF('Risk Data'!$H$4:$H$103,G18)</x:f>
        <x:v>1</x:v>
      </x:c>
    </x:row>
    <x:row r="19">
      <x:c r="A19" t="str">
        <x:v>Total</x:v>
      </x:c>
      <x:c r="B19" t="n">
        <x:f>SUM(B16:B18)</x:f>
        <x:v>10</x:v>
      </x:c>
      <x:c r="G19" t="str">
        <x:v>Low</x:v>
      </x:c>
      <x:c r="H19" t="n">
        <x:f>COUNTIF('Risk Data'!$H$4:$H$103,G19)</x:f>
        <x:v>0</x:v>
      </x:c>
    </x:row>
    <x:row r="20">
      <x:c r="G20" t="str">
        <x:v>Total</x:v>
      </x:c>
      <x:c r="H20" t="n">
        <x:f>SUM(H16:H19)</x:f>
        <x:v>5</x:v>
      </x:c>
    </x:row>
    <x:row r="23">
      <x:c r="A23" s="44" t="str">
        <x:v>INTERPRETATION &amp; DATA QUALITY</x:v>
      </x:c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</x:row>
    <x:row r="24" ht="23" customHeight="1">
      <x:c r="A24" t="str">
        <x:v>On-time delivery is a proxy: it uses revised ETA for fully received POs, not actual receipt dates.</x:v>
      </x:c>
    </x:row>
    <x:row r="25" ht="23" customHeight="1">
      <x:c r="A25" t="str">
        <x:v>Open exposure = unreceived quantity × unit price; it is not a forecast of financial loss.</x:v>
      </x:c>
    </x:row>
    <x:row r="26" ht="23" customHeight="1">
      <x:c r="A26" t="str">
        <x:v>Receipt completion is quantity-weighted across unlike units; interpret only as a demonstration metric.</x:v>
      </x:c>
    </x:row>
    <x:row r="27" ht="23" customHeight="1">
      <x:c r="A27" t="str">
        <x:v>Risk priorities are recalculated from likelihood × impact. PO delivery-risk labels are source inputs.</x:v>
      </x:c>
    </x:row>
    <x:row r="28" ht="23" customHeight="1">
      <x:c r="A28" t="str">
        <x:v>Snapshot date is editable on Settings; all records and suppliers are fictional.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3:F13"/>
    <x:mergeCell ref="G13:L13"/>
    <x:mergeCell ref="A23:L23"/>
    <x:mergeCell ref="A24:L24"/>
    <x:mergeCell ref="A25:L25"/>
    <x:mergeCell ref="A26:L26"/>
    <x:mergeCell ref="A27:L27"/>
    <x:mergeCell ref="A28:L28"/>
  </x:mergeCells>
  <x:pageMargins left="0.7" right="0.7" top="0.75" bottom="0.75" header="0.3" footer="0.3"/>
  <x:drawing xmlns:r="http://schemas.openxmlformats.org/officeDocument/2006/relationships" r:id="Rdac8caaea54142b6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6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4" hidden="0" customWidth="1"/>
    <x:col min="13" max="13" width="18" hidden="0" customWidth="1"/>
    <x:col min="14" max="14" width="15" hidden="0" customWidth="1"/>
    <x:col min="15" max="15" width="15" hidden="0" customWidth="1"/>
    <x:col min="16" max="16" width="20" hidden="0" customWidth="1"/>
    <x:col min="17" max="17" width="16" hidden="0" customWidth="1"/>
    <x:col min="18" max="18" width="19" hidden="0" customWidth="1"/>
    <x:col min="19" max="19" width="18" hidden="0" customWidth="1"/>
    <x:col min="20" max="20" width="31" hidden="0" customWidth="1"/>
    <x:col min="21" max="21" width="30" hidden="0" customWidth="1"/>
  </x:cols>
  <x:sheetData>
    <x:row r="1" ht="36" customHeight="1">
      <x:c r="A1" s="4" t="str">
        <x:v>EVOF | Purchase Order Source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3" ht="32" customHeight="1">
      <x:c r="A3" s="11" t="str">
        <x:v>PO Number</x:v>
      </x:c>
      <x:c r="B3" s="11" t="str">
        <x:v>Supplier</x:v>
      </x:c>
      <x:c r="C3" s="11" t="str">
        <x:v>Component / Item</x:v>
      </x:c>
      <x:c r="D3" s="11" t="str">
        <x:v>Project / Cost Center</x:v>
      </x:c>
      <x:c r="E3" s="11" t="str">
        <x:v>PO Date</x:v>
      </x:c>
      <x:c r="F3" s="11" t="str">
        <x:v>Original Due</x:v>
      </x:c>
      <x:c r="G3" s="11" t="str">
        <x:v>Revised ETA</x:v>
      </x:c>
      <x:c r="H3" s="11" t="str">
        <x:v>Ordered Qty</x:v>
      </x:c>
      <x:c r="I3" s="11" t="str">
        <x:v>Received Qty</x:v>
      </x:c>
      <x:c r="J3" s="11" t="str">
        <x:v>Unit Price USD</x:v>
      </x:c>
      <x:c r="K3" s="11" t="str">
        <x:v>PO Value USD</x:v>
      </x:c>
      <x:c r="L3" s="11" t="str">
        <x:v>Open Qty</x:v>
      </x:c>
      <x:c r="M3" s="11" t="str">
        <x:v>Open Value USD</x:v>
      </x:c>
      <x:c r="N3" s="11" t="str">
        <x:v>Days to ETA</x:v>
      </x:c>
      <x:c r="O3" s="11" t="str">
        <x:v>Days Late</x:v>
      </x:c>
      <x:c r="P3" s="11" t="str">
        <x:v>PO Status</x:v>
      </x:c>
      <x:c r="Q3" s="11" t="str">
        <x:v>Delivery Risk</x:v>
      </x:c>
      <x:c r="R3" s="11" t="str">
        <x:v>Buyer / Owner</x:v>
      </x:c>
      <x:c r="S3" s="11" t="str">
        <x:v>Last Follow-up</x:v>
      </x:c>
      <x:c r="T3" s="11" t="str">
        <x:v>Next Action</x:v>
      </x:c>
      <x:c r="U3" s="11" t="str">
        <x:v>Notes</x:v>
      </x:c>
    </x:row>
    <x:row r="4">
      <x:c r="A4" t="str">
        <x:v>PO-26001</x:v>
      </x:c>
      <x:c r="B4" t="str">
        <x:v>Supplier A</x:v>
      </x:c>
      <x:c r="C4" t="str">
        <x:v>Servo motor assembly</x:v>
      </x:c>
      <x:c r="D4" t="str">
        <x:v>LINE-01</x:v>
      </x:c>
      <x:c r="E4" s="16" t="n">
        <x:v>46282</x:v>
      </x:c>
      <x:c r="F4" s="16" t="n">
        <x:v>46307</x:v>
      </x:c>
      <x:c r="G4" s="16" t="n">
        <x:v>46308</x:v>
      </x:c>
      <x:c r="H4" t="n">
        <x:v>10</x:v>
      </x:c>
      <x:c r="I4" t="n">
        <x:v>4</x:v>
      </x:c>
      <x:c r="J4" s="18" t="n">
        <x:v>1280</x:v>
      </x:c>
      <x:c r="K4" s="18" t="n">
        <x:f>H4*J4</x:f>
        <x:v>12800</x:v>
      </x:c>
      <x:c r="L4" t="n">
        <x:f>MAX(0,H4-I4)</x:f>
        <x:v>6</x:v>
      </x:c>
      <x:c r="M4" s="18" t="n">
        <x:f>L4*J4</x:f>
        <x:v>7680</x:v>
      </x:c>
      <x:c r="N4" t="n">
        <x:f>IF(L4=0,0,G4-Settings!$B$4)</x:f>
        <x:v>-2</x:v>
      </x:c>
      <x:c r="O4" t="n">
        <x:f>IF(L4=0,0,MAX(0,Settings!$B$4-F4))</x:f>
        <x:v>3</x:v>
      </x:c>
      <x:c r="P4" t="str">
        <x:f>IF(L4=0,"Received",IF(I4&gt;0,"Partially Received","Open"))</x:f>
        <x:v>Partially Received</x:v>
      </x:c>
      <x:c r="Q4" t="str">
        <x:v>High</x:v>
      </x:c>
      <x:c r="R4" t="str">
        <x:v>A. Martinez</x:v>
      </x:c>
      <x:c r="S4" s="16" t="n">
        <x:v>46308</x:v>
      </x:c>
      <x:c r="T4" t="str">
        <x:v>Confirm remaining dispatch</x:v>
      </x:c>
      <x:c r="U4" t="str">
        <x:v>6 units pending</x:v>
      </x:c>
    </x:row>
    <x:row r="5">
      <x:c r="A5" t="str">
        <x:v>PO-26002</x:v>
      </x:c>
      <x:c r="B5" t="str">
        <x:v>Supplier B</x:v>
      </x:c>
      <x:c r="C5" t="str">
        <x:v>Pneumatic valves</x:v>
      </x:c>
      <x:c r="D5" t="str">
        <x:v>LINE-02</x:v>
      </x:c>
      <x:c r="E5" s="16" t="n">
        <x:v>46292</x:v>
      </x:c>
      <x:c r="F5" s="16" t="n">
        <x:v>46314</x:v>
      </x:c>
      <x:c r="G5" s="16" t="n">
        <x:v>46320</x:v>
      </x:c>
      <x:c r="H5" t="n">
        <x:v>60</x:v>
      </x:c>
      <x:c r="I5" t="n">
        <x:v>0</x:v>
      </x:c>
      <x:c r="J5" s="18" t="n">
        <x:v>145</x:v>
      </x:c>
      <x:c r="K5" s="18" t="n">
        <x:f>H5*J5</x:f>
        <x:v>8700</x:v>
      </x:c>
      <x:c r="L5" t="n">
        <x:f>MAX(0,H5-I5)</x:f>
        <x:v>60</x:v>
      </x:c>
      <x:c r="M5" s="18" t="n">
        <x:f>L5*J5</x:f>
        <x:v>8700</x:v>
      </x:c>
      <x:c r="N5" t="n">
        <x:f>IF(L5=0,0,G5-Settings!$B$4)</x:f>
        <x:v>10</x:v>
      </x:c>
      <x:c r="O5" t="n">
        <x:f>IF(L5=0,0,MAX(0,Settings!$B$4-F5))</x:f>
        <x:v>0</x:v>
      </x:c>
      <x:c r="P5" t="str">
        <x:f>IF(L5=0,"Received",IF(I5&gt;0,"Partially Received","Open"))</x:f>
        <x:v>Open</x:v>
      </x:c>
      <x:c r="Q5" t="str">
        <x:v>Normal</x:v>
      </x:c>
      <x:c r="R5" t="str">
        <x:v>A. Martinez</x:v>
      </x:c>
      <x:c r="S5" s="16" t="n">
        <x:v>46309</x:v>
      </x:c>
      <x:c r="T5" t="str">
        <x:v>Request recovery plan</x:v>
      </x:c>
      <x:c r="U5" t="str">
        <x:v>ETA slipped 6 days</x:v>
      </x:c>
    </x:row>
    <x:row r="6">
      <x:c r="A6" t="str">
        <x:v>PO-26003</x:v>
      </x:c>
      <x:c r="B6" t="str">
        <x:v>Supplier C</x:v>
      </x:c>
      <x:c r="C6" t="str">
        <x:v>PLC controller</x:v>
      </x:c>
      <x:c r="D6" t="str">
        <x:v>PROJECT-A</x:v>
      </x:c>
      <x:c r="E6" s="16" t="n">
        <x:v>46298</x:v>
      </x:c>
      <x:c r="F6" s="16" t="n">
        <x:v>46318</x:v>
      </x:c>
      <x:c r="G6" s="16" t="n">
        <x:v>46318</x:v>
      </x:c>
      <x:c r="H6" t="n">
        <x:v>4</x:v>
      </x:c>
      <x:c r="I6" t="n">
        <x:v>0</x:v>
      </x:c>
      <x:c r="J6" s="18" t="n">
        <x:v>2250</x:v>
      </x:c>
      <x:c r="K6" s="18" t="n">
        <x:f>H6*J6</x:f>
        <x:v>9000</x:v>
      </x:c>
      <x:c r="L6" t="n">
        <x:f>MAX(0,H6-I6)</x:f>
        <x:v>4</x:v>
      </x:c>
      <x:c r="M6" s="18" t="n">
        <x:f>L6*J6</x:f>
        <x:v>9000</x:v>
      </x:c>
      <x:c r="N6" t="n">
        <x:f>IF(L6=0,0,G6-Settings!$B$4)</x:f>
        <x:v>8</x:v>
      </x:c>
      <x:c r="O6" t="n">
        <x:f>IF(L6=0,0,MAX(0,Settings!$B$4-F6))</x:f>
        <x:v>0</x:v>
      </x:c>
      <x:c r="P6" t="str">
        <x:f>IF(L6=0,"Received",IF(I6&gt;0,"Partially Received","Open"))</x:f>
        <x:v>Open</x:v>
      </x:c>
      <x:c r="Q6" t="str">
        <x:v>Normal</x:v>
      </x:c>
      <x:c r="R6" t="str">
        <x:v>J. Lopez</x:v>
      </x:c>
      <x:c r="S6" s="16" t="n">
        <x:v>46308</x:v>
      </x:c>
      <x:c r="T6" t="str">
        <x:v>Verify production slot</x:v>
      </x:c>
      <x:c r="U6" t="str">
        <x:v>Critical item</x:v>
      </x:c>
    </x:row>
    <x:row r="7">
      <x:c r="A7" t="str">
        <x:v>PO-26004</x:v>
      </x:c>
      <x:c r="B7" t="str">
        <x:v>Supplier A</x:v>
      </x:c>
      <x:c r="C7" t="str">
        <x:v>Industrial sensors</x:v>
      </x:c>
      <x:c r="D7" t="str">
        <x:v>LINE-01</x:v>
      </x:c>
      <x:c r="E7" s="16" t="n">
        <x:v>46290</x:v>
      </x:c>
      <x:c r="F7" s="16" t="n">
        <x:v>46309</x:v>
      </x:c>
      <x:c r="G7" s="16" t="n">
        <x:v>46309</x:v>
      </x:c>
      <x:c r="H7" t="n">
        <x:v>40</x:v>
      </x:c>
      <x:c r="I7" t="n">
        <x:v>40</x:v>
      </x:c>
      <x:c r="J7" s="18" t="n">
        <x:v>88</x:v>
      </x:c>
      <x:c r="K7" s="18" t="n">
        <x:f>H7*J7</x:f>
        <x:v>3520</x:v>
      </x:c>
      <x:c r="L7" t="n">
        <x:f>MAX(0,H7-I7)</x:f>
        <x:v>0</x:v>
      </x:c>
      <x:c r="M7" s="18" t="n">
        <x:f>L7*J7</x:f>
        <x:v>0</x:v>
      </x:c>
      <x:c r="N7" t="n">
        <x:f>IF(L7=0,0,G7-Settings!$B$4)</x:f>
        <x:v>0</x:v>
      </x:c>
      <x:c r="O7" t="n">
        <x:f>IF(L7=0,0,MAX(0,Settings!$B$4-F7))</x:f>
        <x:v>0</x:v>
      </x:c>
      <x:c r="P7" t="str">
        <x:f>IF(L7=0,"Received",IF(I7&gt;0,"Partially Received","Open"))</x:f>
        <x:v>Received</x:v>
      </x:c>
      <x:c r="Q7" t="str">
        <x:v>Closed</x:v>
      </x:c>
      <x:c r="R7" t="str">
        <x:v>J. Lopez</x:v>
      </x:c>
      <x:c r="S7" s="16" t="n">
        <x:v>46309</x:v>
      </x:c>
      <x:c r="T7" t="str">
        <x:v>Close PO documentation</x:v>
      </x:c>
      <x:c r="U7" t="str">
        <x:v>Delivered complete</x:v>
      </x:c>
    </x:row>
    <x:row r="8">
      <x:c r="A8" t="str">
        <x:v>PO-26005</x:v>
      </x:c>
      <x:c r="B8" t="str">
        <x:v>Supplier B</x:v>
      </x:c>
      <x:c r="C8" t="str">
        <x:v>Drive belts</x:v>
      </x:c>
      <x:c r="D8" t="str">
        <x:v>MRO</x:v>
      </x:c>
      <x:c r="E8" s="16" t="n">
        <x:v>46302</x:v>
      </x:c>
      <x:c r="F8" s="16" t="n">
        <x:v>46313</x:v>
      </x:c>
      <x:c r="G8" s="16" t="n">
        <x:v>46313</x:v>
      </x:c>
      <x:c r="H8" t="n">
        <x:v>25</x:v>
      </x:c>
      <x:c r="I8" t="n">
        <x:v>0</x:v>
      </x:c>
      <x:c r="J8" s="18" t="n">
        <x:v>95</x:v>
      </x:c>
      <x:c r="K8" s="18" t="n">
        <x:f>H8*J8</x:f>
        <x:v>2375</x:v>
      </x:c>
      <x:c r="L8" t="n">
        <x:f>MAX(0,H8-I8)</x:f>
        <x:v>25</x:v>
      </x:c>
      <x:c r="M8" s="18" t="n">
        <x:f>L8*J8</x:f>
        <x:v>2375</x:v>
      </x:c>
      <x:c r="N8" t="n">
        <x:f>IF(L8=0,0,G8-Settings!$B$4)</x:f>
        <x:v>3</x:v>
      </x:c>
      <x:c r="O8" t="n">
        <x:f>IF(L8=0,0,MAX(0,Settings!$B$4-F8))</x:f>
        <x:v>0</x:v>
      </x:c>
      <x:c r="P8" t="str">
        <x:f>IF(L8=0,"Received",IF(I8&gt;0,"Partially Received","Open"))</x:f>
        <x:v>Open</x:v>
      </x:c>
      <x:c r="Q8" t="str">
        <x:v>Watch</x:v>
      </x:c>
      <x:c r="R8" t="str">
        <x:v>A. Martinez</x:v>
      </x:c>
      <x:c r="S8" s="16" t="n">
        <x:v>46309</x:v>
      </x:c>
      <x:c r="T8" t="str">
        <x:v>Confirm carrier booking</x:v>
      </x:c>
      <x:c r="U8" t="str">
        <x:v>Normal</x:v>
      </x:c>
    </x:row>
    <x:row r="9">
      <x:c r="A9" t="str">
        <x:v>PO-26006</x:v>
      </x:c>
      <x:c r="B9" t="str">
        <x:v>Supplier C</x:v>
      </x:c>
      <x:c r="C9" t="str">
        <x:v>HMI panel</x:v>
      </x:c>
      <x:c r="D9" t="str">
        <x:v>PROJECT-B</x:v>
      </x:c>
      <x:c r="E9" s="16" t="n">
        <x:v>46288</x:v>
      </x:c>
      <x:c r="F9" s="16" t="n">
        <x:v>46305</x:v>
      </x:c>
      <x:c r="G9" s="16" t="n">
        <x:v>46316</x:v>
      </x:c>
      <x:c r="H9" t="n">
        <x:v>3</x:v>
      </x:c>
      <x:c r="I9" t="n">
        <x:v>0</x:v>
      </x:c>
      <x:c r="J9" s="18" t="n">
        <x:v>3100</x:v>
      </x:c>
      <x:c r="K9" s="18" t="n">
        <x:f>H9*J9</x:f>
        <x:v>9300</x:v>
      </x:c>
      <x:c r="L9" t="n">
        <x:f>MAX(0,H9-I9)</x:f>
        <x:v>3</x:v>
      </x:c>
      <x:c r="M9" s="18" t="n">
        <x:f>L9*J9</x:f>
        <x:v>9300</x:v>
      </x:c>
      <x:c r="N9" t="n">
        <x:f>IF(L9=0,0,G9-Settings!$B$4)</x:f>
        <x:v>6</x:v>
      </x:c>
      <x:c r="O9" t="n">
        <x:f>IF(L9=0,0,MAX(0,Settings!$B$4-F9))</x:f>
        <x:v>5</x:v>
      </x:c>
      <x:c r="P9" t="str">
        <x:f>IF(L9=0,"Received",IF(I9&gt;0,"Partially Received","Open"))</x:f>
        <x:v>Open</x:v>
      </x:c>
      <x:c r="Q9" t="str">
        <x:v>High</x:v>
      </x:c>
      <x:c r="R9" t="str">
        <x:v>J. Lopez</x:v>
      </x:c>
      <x:c r="S9" s="16" t="n">
        <x:v>46307</x:v>
      </x:c>
      <x:c r="T9" t="str">
        <x:v>Escalate ETA change</x:v>
      </x:c>
      <x:c r="U9" t="str">
        <x:v>Engineering impacted</x:v>
      </x:c>
    </x:row>
    <x:row r="10">
      <x:c r="A10" t="str">
        <x:v>PO-26007</x:v>
      </x:c>
      <x:c r="B10" t="str">
        <x:v>Supplier A</x:v>
      </x:c>
      <x:c r="C10" t="str">
        <x:v>Electrical connectors</x:v>
      </x:c>
      <x:c r="D10" t="str">
        <x:v>MRO</x:v>
      </x:c>
      <x:c r="E10" s="16" t="n">
        <x:v>46303</x:v>
      </x:c>
      <x:c r="F10" s="16" t="n">
        <x:v>46322</x:v>
      </x:c>
      <x:c r="G10" s="16" t="n">
        <x:v>46322</x:v>
      </x:c>
      <x:c r="H10" t="n">
        <x:v>200</x:v>
      </x:c>
      <x:c r="I10" t="n">
        <x:v>0</x:v>
      </x:c>
      <x:c r="J10" s="18" t="n">
        <x:v>14</x:v>
      </x:c>
      <x:c r="K10" s="18" t="n">
        <x:f>H10*J10</x:f>
        <x:v>2800</x:v>
      </x:c>
      <x:c r="L10" t="n">
        <x:f>MAX(0,H10-I10)</x:f>
        <x:v>200</x:v>
      </x:c>
      <x:c r="M10" s="18" t="n">
        <x:f>L10*J10</x:f>
        <x:v>2800</x:v>
      </x:c>
      <x:c r="N10" t="n">
        <x:f>IF(L10=0,0,G10-Settings!$B$4)</x:f>
        <x:v>12</x:v>
      </x:c>
      <x:c r="O10" t="n">
        <x:f>IF(L10=0,0,MAX(0,Settings!$B$4-F10))</x:f>
        <x:v>0</x:v>
      </x:c>
      <x:c r="P10" t="str">
        <x:f>IF(L10=0,"Received",IF(I10&gt;0,"Partially Received","Open"))</x:f>
        <x:v>Open</x:v>
      </x:c>
      <x:c r="Q10" t="str">
        <x:v>Normal</x:v>
      </x:c>
      <x:c r="R10" t="str">
        <x:v>A. Martinez</x:v>
      </x:c>
      <x:c r="S10" s="16" t="n">
        <x:v>46309</x:v>
      </x:c>
      <x:c r="T10" t="str">
        <x:v>Monitor</x:v>
      </x:c>
      <x:c r="U10" t="str">
        <x:v>Low exposure</x:v>
      </x:c>
    </x:row>
    <x:row r="11">
      <x:c r="A11" t="str">
        <x:v>PO-26008</x:v>
      </x:c>
      <x:c r="B11" t="str">
        <x:v>Supplier B</x:v>
      </x:c>
      <x:c r="C11" t="str">
        <x:v>Air preparation units</x:v>
      </x:c>
      <x:c r="D11" t="str">
        <x:v>LINE-03</x:v>
      </x:c>
      <x:c r="E11" s="16" t="n">
        <x:v>46286</x:v>
      </x:c>
      <x:c r="F11" s="16" t="n">
        <x:v>46306</x:v>
      </x:c>
      <x:c r="G11" s="16" t="n">
        <x:v>46306</x:v>
      </x:c>
      <x:c r="H11" t="n">
        <x:v>12</x:v>
      </x:c>
      <x:c r="I11" t="n">
        <x:v>12</x:v>
      </x:c>
      <x:c r="J11" s="18" t="n">
        <x:v>410</x:v>
      </x:c>
      <x:c r="K11" s="18" t="n">
        <x:f>H11*J11</x:f>
        <x:v>4920</x:v>
      </x:c>
      <x:c r="L11" t="n">
        <x:f>MAX(0,H11-I11)</x:f>
        <x:v>0</x:v>
      </x:c>
      <x:c r="M11" s="18" t="n">
        <x:f>L11*J11</x:f>
        <x:v>0</x:v>
      </x:c>
      <x:c r="N11" t="n">
        <x:f>IF(L11=0,0,G11-Settings!$B$4)</x:f>
        <x:v>0</x:v>
      </x:c>
      <x:c r="O11" t="n">
        <x:f>IF(L11=0,0,MAX(0,Settings!$B$4-F11))</x:f>
        <x:v>0</x:v>
      </x:c>
      <x:c r="P11" t="str">
        <x:f>IF(L11=0,"Received",IF(I11&gt;0,"Partially Received","Open"))</x:f>
        <x:v>Received</x:v>
      </x:c>
      <x:c r="Q11" t="str">
        <x:v>Closed</x:v>
      </x:c>
      <x:c r="R11" t="str">
        <x:v>J. Lopez</x:v>
      </x:c>
      <x:c r="S11" s="16" t="n">
        <x:v>46308</x:v>
      </x:c>
      <x:c r="T11" t="str">
        <x:v>Archive receipt</x:v>
      </x:c>
      <x:c r="U11" t="str">
        <x:v>Delivered</x:v>
      </x:c>
    </x:row>
    <x:row r="12">
      <x:c r="A12" t="str">
        <x:v>PO-26009</x:v>
      </x:c>
      <x:c r="B12" t="str">
        <x:v>Supplier C</x:v>
      </x:c>
      <x:c r="C12" t="str">
        <x:v>Encoder modules</x:v>
      </x:c>
      <x:c r="D12" t="str">
        <x:v>PROJECT-A</x:v>
      </x:c>
      <x:c r="E12" s="16" t="n">
        <x:v>46295</x:v>
      </x:c>
      <x:c r="F12" s="16" t="n">
        <x:v>46312</x:v>
      </x:c>
      <x:c r="G12" s="16" t="n">
        <x:v>46311</x:v>
      </x:c>
      <x:c r="H12" t="n">
        <x:v>8</x:v>
      </x:c>
      <x:c r="I12" t="n">
        <x:v>0</x:v>
      </x:c>
      <x:c r="J12" s="18" t="n">
        <x:v>680</x:v>
      </x:c>
      <x:c r="K12" s="18" t="n">
        <x:f>H12*J12</x:f>
        <x:v>5440</x:v>
      </x:c>
      <x:c r="L12" t="n">
        <x:f>MAX(0,H12-I12)</x:f>
        <x:v>8</x:v>
      </x:c>
      <x:c r="M12" s="18" t="n">
        <x:f>L12*J12</x:f>
        <x:v>5440</x:v>
      </x:c>
      <x:c r="N12" t="n">
        <x:f>IF(L12=0,0,G12-Settings!$B$4)</x:f>
        <x:v>1</x:v>
      </x:c>
      <x:c r="O12" t="n">
        <x:f>IF(L12=0,0,MAX(0,Settings!$B$4-F12))</x:f>
        <x:v>0</x:v>
      </x:c>
      <x:c r="P12" t="str">
        <x:f>IF(L12=0,"Received",IF(I12&gt;0,"Partially Received","Open"))</x:f>
        <x:v>Open</x:v>
      </x:c>
      <x:c r="Q12" t="str">
        <x:v>Review Data</x:v>
      </x:c>
      <x:c r="R12" t="str">
        <x:v>A. Martinez</x:v>
      </x:c>
      <x:c r="S12" s="16" t="n">
        <x:v>46309</x:v>
      </x:c>
      <x:c r="T12" t="str">
        <x:v>Obtain shipment confirmation</x:v>
      </x:c>
      <x:c r="U12" t="str">
        <x:v>Near due</x:v>
      </x:c>
    </x:row>
    <x:row r="13">
      <x:c r="A13" t="str">
        <x:v>PO-26010</x:v>
      </x:c>
      <x:c r="B13" t="str">
        <x:v>Supplier A</x:v>
      </x:c>
      <x:c r="C13" t="str">
        <x:v>Linear actuators</x:v>
      </x:c>
      <x:c r="D13" t="str">
        <x:v>PROJECT-C</x:v>
      </x:c>
      <x:c r="E13" s="16" t="n">
        <x:v>46296</x:v>
      </x:c>
      <x:c r="F13" s="16" t="n">
        <x:v>46325</x:v>
      </x:c>
      <x:c r="G13" s="16" t="n">
        <x:v>46325</x:v>
      </x:c>
      <x:c r="H13" t="n">
        <x:v>6</x:v>
      </x:c>
      <x:c r="I13" t="n">
        <x:v>0</x:v>
      </x:c>
      <x:c r="J13" s="18" t="n">
        <x:v>1760</x:v>
      </x:c>
      <x:c r="K13" s="18" t="n">
        <x:f>H13*J13</x:f>
        <x:v>10560</x:v>
      </x:c>
      <x:c r="L13" t="n">
        <x:f>MAX(0,H13-I13)</x:f>
        <x:v>6</x:v>
      </x:c>
      <x:c r="M13" s="18" t="n">
        <x:f>L13*J13</x:f>
        <x:v>10560</x:v>
      </x:c>
      <x:c r="N13" t="n">
        <x:f>IF(L13=0,0,G13-Settings!$B$4)</x:f>
        <x:v>15</x:v>
      </x:c>
      <x:c r="O13" t="n">
        <x:f>IF(L13=0,0,MAX(0,Settings!$B$4-F13))</x:f>
        <x:v>0</x:v>
      </x:c>
      <x:c r="P13" t="str">
        <x:f>IF(L13=0,"Received",IF(I13&gt;0,"Partially Received","Open"))</x:f>
        <x:v>Open</x:v>
      </x:c>
      <x:c r="Q13" t="str">
        <x:v>Normal</x:v>
      </x:c>
      <x:c r="R13" t="str">
        <x:v>J. Lopez</x:v>
      </x:c>
      <x:c r="S13" s="16" t="n">
        <x:v>46308</x:v>
      </x:c>
      <x:c r="T13" t="str">
        <x:v>Check manufacturing status</x:v>
      </x:c>
      <x:c r="U13" t="str">
        <x:v>Project installation scheduled</x:v>
      </x:c>
    </x:row>
  </x:sheetData>
  <x:mergeCells>
    <x:mergeCell ref="A1:U1"/>
  </x:mergeCells>
  <x:dataValidations count="1">
    <x:dataValidation type="list" sqref="Q4:Q103">
      <x:formula1>"Critical,High,Watch,Normal,Closed"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36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20" hidden="0" customWidth="1"/>
    <x:col min="10" max="10" width="48" hidden="0" customWidth="1"/>
    <x:col min="11" max="11" width="31" hidden="0" customWidth="1"/>
    <x:col min="12" max="12" width="17" hidden="0" customWidth="1"/>
    <x:col min="13" max="13" width="18" hidden="0" customWidth="1"/>
    <x:col min="14" max="14" width="18" hidden="0" customWidth="1"/>
    <x:col min="15" max="15" width="22" hidden="0" customWidth="1"/>
    <x:col min="16" max="16" width="28" hidden="0" customWidth="1"/>
  </x:cols>
  <x:sheetData>
    <x:row r="1" ht="34" customHeight="1">
      <x:c r="A1" s="20" t="str">
        <x:v>EVOF | Supply Risk Register — Snapshot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</x:row>
    <x:row r="3" ht="32" customHeight="1">
      <x:c r="A3" s="11" t="str">
        <x:v>Risk ID</x:v>
      </x:c>
      <x:c r="B3" s="11" t="str">
        <x:v>Related PO</x:v>
      </x:c>
      <x:c r="C3" s="11" t="str">
        <x:v>Risk Category</x:v>
      </x:c>
      <x:c r="D3" s="11" t="str">
        <x:v>Description</x:v>
      </x:c>
      <x:c r="E3" s="11" t="str">
        <x:v>Likelihood 1–5</x:v>
      </x:c>
      <x:c r="F3" s="11" t="str">
        <x:v>Impact 1–5</x:v>
      </x:c>
      <x:c r="G3" s="11" t="str">
        <x:v>Risk Score</x:v>
      </x:c>
      <x:c r="H3" s="11" t="str">
        <x:v>Priority</x:v>
      </x:c>
      <x:c r="I3" s="11" t="str">
        <x:v>Owner</x:v>
      </x:c>
      <x:c r="J3" s="11" t="str">
        <x:v>Mitigation / Contingency</x:v>
      </x:c>
      <x:c r="K3" s="11" t="str">
        <x:v>Next Action</x:v>
      </x:c>
      <x:c r="L3" s="11" t="str">
        <x:v>Action Due</x:v>
      </x:c>
      <x:c r="M3" s="11" t="str">
        <x:v>Status</x:v>
      </x:c>
      <x:c r="N3" s="11" t="str">
        <x:v>Last Reviewed</x:v>
      </x:c>
      <x:c r="O3" s="11" t="str">
        <x:v>Escalation</x:v>
      </x:c>
      <x:c r="P3" s="11" t="str">
        <x:v>Evidence / Notes</x:v>
      </x:c>
    </x:row>
    <x:row r="4">
      <x:c r="A4" t="str">
        <x:v>R-001</x:v>
      </x:c>
      <x:c r="B4" t="str">
        <x:v>PO-26001</x:v>
      </x:c>
      <x:c r="C4" t="str">
        <x:v>Late Delivery</x:v>
      </x:c>
      <x:c r="D4" t="str">
        <x:v>Remaining servo assemblies delayed</x:v>
      </x:c>
      <x:c r="E4" t="n">
        <x:v>4</x:v>
      </x:c>
      <x:c r="F4" t="n">
        <x:v>4</x:v>
      </x:c>
      <x:c r="G4" t="n">
        <x:f>E4*F4</x:f>
        <x:v>16</x:v>
      </x:c>
      <x:c r="H4" t="str">
        <x:f>IF(G4&gt;=Settings!$B$8,"Critical",IF(G4&gt;=Settings!$B$9,"High",IF(G4&gt;=Settings!$B$10,"Medium","Low")))</x:f>
        <x:v>Critical</x:v>
      </x:c>
      <x:c r="I4" t="str">
        <x:v>A. Martinez</x:v>
      </x:c>
      <x:c r="J4" t="str">
        <x:v>Expedite partial shipment and assess alternate stock</x:v>
      </x:c>
      <x:c r="K4" t="str">
        <x:v>Confirm carrier pickup</x:v>
      </x:c>
      <x:c r="L4" s="16" t="n">
        <x:v>46311</x:v>
      </x:c>
      <x:c r="M4" t="str">
        <x:v>In Progress</x:v>
      </x:c>
      <x:c r="N4" s="16" t="n">
        <x:v>46309</x:v>
      </x:c>
      <x:c r="O4" t="str">
        <x:v>Project Manager</x:v>
      </x:c>
      <x:c r="P4" t="str">
        <x:v>6 outstanding</x:v>
      </x:c>
    </x:row>
    <x:row r="5">
      <x:c r="A5" t="str">
        <x:v>R-002</x:v>
      </x:c>
      <x:c r="B5" t="str">
        <x:v>PO-26002</x:v>
      </x:c>
      <x:c r="C5" t="str">
        <x:v>Supplier Capacity</x:v>
      </x:c>
      <x:c r="D5" t="str">
        <x:v>Revised ETA beyond requested due date</x:v>
      </x:c>
      <x:c r="E5" t="n">
        <x:v>4</x:v>
      </x:c>
      <x:c r="F5" t="n">
        <x:v>3</x:v>
      </x:c>
      <x:c r="G5" t="n">
        <x:f>E5*F5</x:f>
        <x:v>12</x:v>
      </x:c>
      <x:c r="H5" t="str">
        <x:f>IF(G5&gt;=Settings!$B$8,"Critical",IF(G5&gt;=Settings!$B$9,"High",IF(G5&gt;=Settings!$B$10,"Medium","Low")))</x:f>
        <x:v>High</x:v>
      </x:c>
      <x:c r="I5" t="str">
        <x:v>A. Martinez</x:v>
      </x:c>
      <x:c r="J5" t="str">
        <x:v>Request recovery schedule; evaluate split shipment</x:v>
      </x:c>
      <x:c r="K5" t="str">
        <x:v>Supplier escalation call</x:v>
      </x:c>
      <x:c r="L5" s="16" t="n">
        <x:v>46312</x:v>
      </x:c>
      <x:c r="M5" t="str">
        <x:v>Open</x:v>
      </x:c>
      <x:c r="N5" s="16" t="n">
        <x:v>46310</x:v>
      </x:c>
      <x:c r="O5" t="str">
        <x:v>Purchasing Lead</x:v>
      </x:c>
      <x:c r="P5" t="str">
        <x:v>Supplier B capacity</x:v>
      </x:c>
    </x:row>
    <x:row r="6">
      <x:c r="A6" t="str">
        <x:v>R-003</x:v>
      </x:c>
      <x:c r="B6" t="str">
        <x:v>PO-26006</x:v>
      </x:c>
      <x:c r="C6" t="str">
        <x:v>Project Delay</x:v>
      </x:c>
      <x:c r="D6" t="str">
        <x:v>HMI late arrival threatens commissioning</x:v>
      </x:c>
      <x:c r="E6" t="n">
        <x:v>5</x:v>
      </x:c>
      <x:c r="F6" t="n">
        <x:v>5</x:v>
      </x:c>
      <x:c r="G6" t="n">
        <x:f>E6*F6</x:f>
        <x:v>25</x:v>
      </x:c>
      <x:c r="H6" t="str">
        <x:f>IF(G6&gt;=Settings!$B$8,"Critical",IF(G6&gt;=Settings!$B$9,"High",IF(G6&gt;=Settings!$B$10,"Medium","Low")))</x:f>
        <x:v>Critical</x:v>
      </x:c>
      <x:c r="I6" t="str">
        <x:v>J. Lopez</x:v>
      </x:c>
      <x:c r="J6" t="str">
        <x:v>Validate substitute and reschedule install sequence</x:v>
      </x:c>
      <x:c r="K6" t="str">
        <x:v>Engineering approval</x:v>
      </x:c>
      <x:c r="L6" s="16" t="n">
        <x:v>46311</x:v>
      </x:c>
      <x:c r="M6" t="str">
        <x:v>In Progress</x:v>
      </x:c>
      <x:c r="N6" s="16" t="n">
        <x:v>46310</x:v>
      </x:c>
      <x:c r="O6" t="str">
        <x:v>Operations Manager</x:v>
      </x:c>
      <x:c r="P6" t="str">
        <x:v>Critical path</x:v>
      </x:c>
    </x:row>
    <x:row r="7">
      <x:c r="A7" t="str">
        <x:v>R-004</x:v>
      </x:c>
      <x:c r="B7" t="str">
        <x:v>PO-26003</x:v>
      </x:c>
      <x:c r="C7" t="str">
        <x:v>Single Source</x:v>
      </x:c>
      <x:c r="D7" t="str">
        <x:v>PLC available from one qualified supplier</x:v>
      </x:c>
      <x:c r="E7" t="n">
        <x:v>3</x:v>
      </x:c>
      <x:c r="F7" t="n">
        <x:v>5</x:v>
      </x:c>
      <x:c r="G7" t="n">
        <x:f>E7*F7</x:f>
        <x:v>15</x:v>
      </x:c>
      <x:c r="H7" t="str">
        <x:f>IF(G7&gt;=Settings!$B$8,"Critical",IF(G7&gt;=Settings!$B$9,"High",IF(G7&gt;=Settings!$B$10,"Medium","Low")))</x:f>
        <x:v>High</x:v>
      </x:c>
      <x:c r="I7" t="str">
        <x:v>J. Lopez</x:v>
      </x:c>
      <x:c r="J7" t="str">
        <x:v>Validate backup qualified option</x:v>
      </x:c>
      <x:c r="K7" t="str">
        <x:v>Check second-source feasibility</x:v>
      </x:c>
      <x:c r="L7" s="16" t="n">
        <x:v>46315</x:v>
      </x:c>
      <x:c r="M7" t="str">
        <x:v>Open</x:v>
      </x:c>
      <x:c r="N7" s="16" t="n">
        <x:v>46308</x:v>
      </x:c>
      <x:c r="O7" t="str">
        <x:v>Engineering</x:v>
      </x:c>
      <x:c r="P7" t="str">
        <x:v>Qualification needed</x:v>
      </x:c>
    </x:row>
    <x:row r="8">
      <x:c r="A8" t="str">
        <x:v>R-005</x:v>
      </x:c>
      <x:c r="B8" t="str">
        <x:v>PO-26009</x:v>
      </x:c>
      <x:c r="C8" t="str">
        <x:v>Logistics</x:v>
      </x:c>
      <x:c r="D8" t="str">
        <x:v>Encoder shipment confirmation pending</x:v>
      </x:c>
      <x:c r="E8" t="n">
        <x:v>2</x:v>
      </x:c>
      <x:c r="F8" t="n">
        <x:v>3</x:v>
      </x:c>
      <x:c r="G8" t="n">
        <x:f>E8*F8</x:f>
        <x:v>6</x:v>
      </x:c>
      <x:c r="H8" t="str">
        <x:f>IF(G8&gt;=Settings!$B$8,"Critical",IF(G8&gt;=Settings!$B$9,"High",IF(G8&gt;=Settings!$B$10,"Medium","Low")))</x:f>
        <x:v>Medium</x:v>
      </x:c>
      <x:c r="I8" t="str">
        <x:v>A. Martinez</x:v>
      </x:c>
      <x:c r="J8" t="str">
        <x:v>Obtain AWB and transit milestones</x:v>
      </x:c>
      <x:c r="K8" t="str">
        <x:v>Request tracking ID</x:v>
      </x:c>
      <x:c r="L8" s="16" t="n">
        <x:v>46311</x:v>
      </x:c>
      <x:c r="M8" t="str">
        <x:v>Open</x:v>
      </x:c>
      <x:c r="N8" s="16" t="n">
        <x:v>46310</x:v>
      </x:c>
      <x:c r="O8" t="str">
        <x:v>Buyer</x:v>
      </x:c>
      <x:c r="P8" t="str">
        <x:v>Monitor</x:v>
      </x:c>
    </x:row>
    <x:row r="9">
      <x:c r="L9" s="16"/>
      <x:c r="N9" s="16"/>
    </x:row>
    <x:row r="10">
      <x:c r="L10" s="16"/>
      <x:c r="N10" s="16"/>
    </x:row>
    <x:row r="11">
      <x:c r="L11" s="16"/>
      <x:c r="N11" s="16"/>
    </x:row>
    <x:row r="12">
      <x:c r="L12" s="16"/>
      <x:c r="N12" s="16"/>
    </x:row>
    <x:row r="13">
      <x:c r="L13" s="16"/>
      <x:c r="N13" s="16"/>
    </x:row>
    <x:row r="14">
      <x:c r="L14" s="16"/>
      <x:c r="N14" s="16"/>
    </x:row>
    <x:row r="15">
      <x:c r="L15" s="16"/>
      <x:c r="N15" s="16"/>
    </x:row>
    <x:row r="16">
      <x:c r="L16" s="16"/>
      <x:c r="N16" s="16"/>
    </x:row>
    <x:row r="17">
      <x:c r="L17" s="16"/>
      <x:c r="N17" s="16"/>
    </x:row>
    <x:row r="18">
      <x:c r="L18" s="16"/>
      <x:c r="N18" s="16"/>
    </x:row>
    <x:row r="19">
      <x:c r="L19" s="16"/>
      <x:c r="N19" s="16"/>
    </x:row>
    <x:row r="20">
      <x:c r="L20" s="16"/>
      <x:c r="N20" s="16"/>
    </x:row>
    <x:row r="21">
      <x:c r="L21" s="16"/>
      <x:c r="N21" s="16"/>
    </x:row>
    <x:row r="22">
      <x:c r="L22" s="16"/>
      <x:c r="N22" s="16"/>
    </x:row>
    <x:row r="23">
      <x:c r="L23" s="16"/>
      <x:c r="N23" s="16"/>
    </x:row>
    <x:row r="24">
      <x:c r="L24" s="16"/>
      <x:c r="N24" s="16"/>
    </x:row>
    <x:row r="25">
      <x:c r="L25" s="16"/>
      <x:c r="N25" s="16"/>
    </x:row>
    <x:row r="26">
      <x:c r="L26" s="16"/>
      <x:c r="N26" s="16"/>
    </x:row>
    <x:row r="27">
      <x:c r="L27" s="16"/>
      <x:c r="N27" s="16"/>
    </x:row>
    <x:row r="28">
      <x:c r="L28" s="16"/>
      <x:c r="N28" s="16"/>
    </x:row>
    <x:row r="29">
      <x:c r="L29" s="16"/>
      <x:c r="N29" s="16"/>
    </x:row>
    <x:row r="30">
      <x:c r="L30" s="16"/>
      <x:c r="N30" s="16"/>
    </x:row>
    <x:row r="31">
      <x:c r="L31" s="16"/>
      <x:c r="N31" s="16"/>
    </x:row>
    <x:row r="32">
      <x:c r="L32" s="16"/>
      <x:c r="N32" s="16"/>
    </x:row>
    <x:row r="33">
      <x:c r="L33" s="16"/>
      <x:c r="N33" s="16"/>
    </x:row>
    <x:row r="34">
      <x:c r="L34" s="16"/>
      <x:c r="N34" s="16"/>
    </x:row>
    <x:row r="35">
      <x:c r="L35" s="16"/>
      <x:c r="N35" s="16"/>
    </x:row>
    <x:row r="36">
      <x:c r="L36" s="16"/>
      <x:c r="N36" s="16"/>
    </x:row>
    <x:row r="37">
      <x:c r="L37" s="16"/>
      <x:c r="N37" s="16"/>
    </x:row>
    <x:row r="38">
      <x:c r="L38" s="16"/>
      <x:c r="N38" s="16"/>
    </x:row>
    <x:row r="39">
      <x:c r="L39" s="16"/>
      <x:c r="N39" s="16"/>
    </x:row>
    <x:row r="40">
      <x:c r="L40" s="16"/>
      <x:c r="N40" s="16"/>
    </x:row>
    <x:row r="41">
      <x:c r="L41" s="16"/>
      <x:c r="N41" s="16"/>
    </x:row>
    <x:row r="42">
      <x:c r="L42" s="16"/>
      <x:c r="N42" s="16"/>
    </x:row>
    <x:row r="43">
      <x:c r="L43" s="16"/>
      <x:c r="N43" s="16"/>
    </x:row>
    <x:row r="44">
      <x:c r="L44" s="16"/>
      <x:c r="N44" s="16"/>
    </x:row>
    <x:row r="45">
      <x:c r="L45" s="16"/>
      <x:c r="N45" s="16"/>
    </x:row>
    <x:row r="46">
      <x:c r="L46" s="16"/>
      <x:c r="N46" s="16"/>
    </x:row>
    <x:row r="47">
      <x:c r="L47" s="16"/>
      <x:c r="N47" s="16"/>
    </x:row>
    <x:row r="48">
      <x:c r="L48" s="16"/>
      <x:c r="N48" s="16"/>
    </x:row>
    <x:row r="49">
      <x:c r="L49" s="16"/>
      <x:c r="N49" s="16"/>
    </x:row>
    <x:row r="50">
      <x:c r="L50" s="16"/>
      <x:c r="N50" s="16"/>
    </x:row>
    <x:row r="51">
      <x:c r="L51" s="16"/>
      <x:c r="N51" s="16"/>
    </x:row>
    <x:row r="52">
      <x:c r="L52" s="16"/>
      <x:c r="N52" s="16"/>
    </x:row>
    <x:row r="53">
      <x:c r="L53" s="16"/>
      <x:c r="N53" s="16"/>
    </x:row>
    <x:row r="54">
      <x:c r="L54" s="16"/>
      <x:c r="N54" s="16"/>
    </x:row>
    <x:row r="55">
      <x:c r="L55" s="16"/>
      <x:c r="N55" s="16"/>
    </x:row>
    <x:row r="56">
      <x:c r="L56" s="16"/>
      <x:c r="N56" s="16"/>
    </x:row>
    <x:row r="57">
      <x:c r="L57" s="16"/>
      <x:c r="N57" s="16"/>
    </x:row>
    <x:row r="58">
      <x:c r="L58" s="16"/>
      <x:c r="N58" s="16"/>
    </x:row>
    <x:row r="59">
      <x:c r="L59" s="16"/>
      <x:c r="N59" s="16"/>
    </x:row>
    <x:row r="60">
      <x:c r="L60" s="16"/>
      <x:c r="N60" s="16"/>
    </x:row>
    <x:row r="61">
      <x:c r="L61" s="16"/>
      <x:c r="N61" s="16"/>
    </x:row>
    <x:row r="62">
      <x:c r="L62" s="16"/>
      <x:c r="N62" s="16"/>
    </x:row>
    <x:row r="63">
      <x:c r="L63" s="16"/>
      <x:c r="N63" s="16"/>
    </x:row>
    <x:row r="64">
      <x:c r="L64" s="16"/>
      <x:c r="N64" s="16"/>
    </x:row>
    <x:row r="65">
      <x:c r="L65" s="16"/>
      <x:c r="N65" s="16"/>
    </x:row>
    <x:row r="66">
      <x:c r="L66" s="16"/>
      <x:c r="N66" s="16"/>
    </x:row>
    <x:row r="67">
      <x:c r="L67" s="16"/>
      <x:c r="N67" s="16"/>
    </x:row>
    <x:row r="68">
      <x:c r="L68" s="16"/>
      <x:c r="N68" s="16"/>
    </x:row>
    <x:row r="69">
      <x:c r="L69" s="16"/>
      <x:c r="N69" s="16"/>
    </x:row>
    <x:row r="70">
      <x:c r="L70" s="16"/>
      <x:c r="N70" s="16"/>
    </x:row>
    <x:row r="71">
      <x:c r="L71" s="16"/>
      <x:c r="N71" s="16"/>
    </x:row>
    <x:row r="72">
      <x:c r="L72" s="16"/>
      <x:c r="N72" s="16"/>
    </x:row>
    <x:row r="73">
      <x:c r="L73" s="16"/>
      <x:c r="N73" s="16"/>
    </x:row>
    <x:row r="74">
      <x:c r="L74" s="16"/>
      <x:c r="N74" s="16"/>
    </x:row>
    <x:row r="75">
      <x:c r="L75" s="16"/>
      <x:c r="N75" s="16"/>
    </x:row>
    <x:row r="76">
      <x:c r="L76" s="16"/>
      <x:c r="N76" s="16"/>
    </x:row>
    <x:row r="77">
      <x:c r="L77" s="16"/>
      <x:c r="N77" s="16"/>
    </x:row>
    <x:row r="78">
      <x:c r="L78" s="16"/>
      <x:c r="N78" s="16"/>
    </x:row>
    <x:row r="79">
      <x:c r="L79" s="16"/>
      <x:c r="N79" s="16"/>
    </x:row>
    <x:row r="80">
      <x:c r="L80" s="16"/>
      <x:c r="N80" s="16"/>
    </x:row>
    <x:row r="81">
      <x:c r="L81" s="16"/>
      <x:c r="N81" s="16"/>
    </x:row>
    <x:row r="82">
      <x:c r="L82" s="16"/>
      <x:c r="N82" s="16"/>
    </x:row>
    <x:row r="83">
      <x:c r="L83" s="16"/>
      <x:c r="N83" s="16"/>
    </x:row>
    <x:row r="84">
      <x:c r="L84" s="16"/>
      <x:c r="N84" s="16"/>
    </x:row>
    <x:row r="85">
      <x:c r="L85" s="16"/>
      <x:c r="N85" s="16"/>
    </x:row>
    <x:row r="86">
      <x:c r="L86" s="16"/>
      <x:c r="N86" s="16"/>
    </x:row>
    <x:row r="87">
      <x:c r="L87" s="16"/>
      <x:c r="N87" s="16"/>
    </x:row>
    <x:row r="88">
      <x:c r="L88" s="16"/>
      <x:c r="N88" s="16"/>
    </x:row>
    <x:row r="89">
      <x:c r="L89" s="16"/>
      <x:c r="N89" s="16"/>
    </x:row>
    <x:row r="90">
      <x:c r="L90" s="16"/>
      <x:c r="N90" s="16"/>
    </x:row>
    <x:row r="91">
      <x:c r="L91" s="16"/>
      <x:c r="N91" s="16"/>
    </x:row>
    <x:row r="92">
      <x:c r="L92" s="16"/>
      <x:c r="N92" s="16"/>
    </x:row>
    <x:row r="93">
      <x:c r="L93" s="16"/>
      <x:c r="N93" s="16"/>
    </x:row>
    <x:row r="94">
      <x:c r="L94" s="16"/>
      <x:c r="N94" s="16"/>
    </x:row>
    <x:row r="95">
      <x:c r="L95" s="16"/>
      <x:c r="N95" s="16"/>
    </x:row>
    <x:row r="96">
      <x:c r="L96" s="16"/>
      <x:c r="N96" s="16"/>
    </x:row>
    <x:row r="97">
      <x:c r="L97" s="16"/>
      <x:c r="N97" s="16"/>
    </x:row>
    <x:row r="98">
      <x:c r="L98" s="16"/>
      <x:c r="N98" s="16"/>
    </x:row>
    <x:row r="99">
      <x:c r="L99" s="16"/>
      <x:c r="N99" s="16"/>
    </x:row>
    <x:row r="100">
      <x:c r="L100" s="16"/>
      <x:c r="N100" s="16"/>
    </x:row>
    <x:row r="101">
      <x:c r="L101" s="16"/>
      <x:c r="N101" s="16"/>
    </x:row>
    <x:row r="102">
      <x:c r="L102" s="16"/>
      <x:c r="N102" s="16"/>
    </x:row>
    <x:row r="103">
      <x:c r="L103" s="16"/>
      <x:c r="N103" s="16"/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2" hidden="0" customWidth="1"/>
    <x:col min="3" max="3" width="19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23" hidden="0" customWidth="1"/>
    <x:col min="10" max="10" width="30" hidden="0" customWidth="1"/>
  </x:cols>
  <x:sheetData>
    <x:row r="1" ht="35" customHeight="1">
      <x:c r="A1" s="20" t="str">
        <x:v>EVOF | Supplier Performance Scorecard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 ht="32" customHeight="1">
      <x:c r="A3" s="11" t="str">
        <x:v>Supplier</x:v>
      </x:c>
      <x:c r="B3" s="11" t="str">
        <x:v>POs</x:v>
      </x:c>
      <x:c r="C3" s="11" t="str">
        <x:v>PO Value USD</x:v>
      </x:c>
      <x:c r="D3" s="11" t="str">
        <x:v>Open Exposure USD</x:v>
      </x:c>
      <x:c r="E3" s="11" t="str">
        <x:v>Ordered Qty</x:v>
      </x:c>
      <x:c r="F3" s="11" t="str">
        <x:v>Received Qty</x:v>
      </x:c>
      <x:c r="G3" s="11" t="str">
        <x:v>Receipt Rate</x:v>
      </x:c>
      <x:c r="H3" s="11" t="str">
        <x:v>Open POs</x:v>
      </x:c>
      <x:c r="I3" s="11" t="str">
        <x:v>Overdue Open POs</x:v>
      </x:c>
      <x:c r="J3" s="11" t="str">
        <x:v>High / Critical Open POs</x:v>
      </x:c>
    </x:row>
    <x:row r="4">
      <x:c r="A4" t="str">
        <x:v>Supplier A</x:v>
      </x:c>
      <x:c r="B4" t="n">
        <x:f>COUNTIF('PO Data'!$B$4:$B$103,A4)</x:f>
        <x:v>4</x:v>
      </x:c>
      <x:c r="C4" s="46" t="n">
        <x:f>SUMIF('PO Data'!$B$4:$B$103,A4,'PO Data'!$K$4:$K$103)</x:f>
        <x:v>29680</x:v>
      </x:c>
      <x:c r="D4" s="46" t="n">
        <x:f>SUMIF('PO Data'!$B$4:$B$103,A4,'PO Data'!$M$4:$M$103)</x:f>
        <x:v>21040</x:v>
      </x:c>
      <x:c r="E4" t="n">
        <x:f>SUMIF('PO Data'!$B$4:$B$103,A4,'PO Data'!$H$4:$H$103)</x:f>
        <x:v>256</x:v>
      </x:c>
      <x:c r="F4" t="n">
        <x:f>SUMIF('PO Data'!$B$4:$B$103,A4,'PO Data'!$I$4:$I$103)</x:f>
        <x:v>44</x:v>
      </x:c>
      <x:c r="G4" s="48" t="n">
        <x:f>IFERROR(F4/E4,0)</x:f>
        <x:v>0.171875</x:v>
      </x:c>
      <x:c r="H4" t="n">
        <x:f>COUNTIFS('PO Data'!$B$4:$B$103,A4,'PO Data'!$L$4:$L$103,"&gt;0")</x:f>
        <x:v>3</x:v>
      </x:c>
      <x:c r="I4" t="n">
        <x:f>COUNTIFS('PO Data'!$B$4:$B$103,A4,'PO Data'!$L$4:$L$103,"&gt;0",'PO Data'!$O$4:$O$103,"&gt;0")</x:f>
        <x:v>1</x:v>
      </x:c>
      <x:c r="J4" t="n">
        <x:f>COUNTIFS('PO Data'!$B$4:$B$103,A4,'PO Data'!$L$4:$L$103,"&gt;0",'PO Data'!$Q$4:$Q$103,"High")+COUNTIFS('PO Data'!$B$4:$B$103,A4,'PO Data'!$L$4:$L$103,"&gt;0",'PO Data'!$Q$4:$Q$103,"Critical")</x:f>
        <x:v>1</x:v>
      </x:c>
    </x:row>
    <x:row r="5">
      <x:c r="A5" t="str">
        <x:v>Supplier B</x:v>
      </x:c>
      <x:c r="B5" t="n">
        <x:f>COUNTIF('PO Data'!$B$4:$B$103,A5)</x:f>
        <x:v>3</x:v>
      </x:c>
      <x:c r="C5" s="46" t="n">
        <x:f>SUMIF('PO Data'!$B$4:$B$103,A5,'PO Data'!$K$4:$K$103)</x:f>
        <x:v>15995</x:v>
      </x:c>
      <x:c r="D5" s="46" t="n">
        <x:f>SUMIF('PO Data'!$B$4:$B$103,A5,'PO Data'!$M$4:$M$103)</x:f>
        <x:v>11075</x:v>
      </x:c>
      <x:c r="E5" t="n">
        <x:f>SUMIF('PO Data'!$B$4:$B$103,A5,'PO Data'!$H$4:$H$103)</x:f>
        <x:v>97</x:v>
      </x:c>
      <x:c r="F5" t="n">
        <x:f>SUMIF('PO Data'!$B$4:$B$103,A5,'PO Data'!$I$4:$I$103)</x:f>
        <x:v>12</x:v>
      </x:c>
      <x:c r="G5" s="48" t="n">
        <x:f>IFERROR(F5/E5,0)</x:f>
        <x:v>0.12371134020618557</x:v>
      </x:c>
      <x:c r="H5" t="n">
        <x:f>COUNTIFS('PO Data'!$B$4:$B$103,A5,'PO Data'!$L$4:$L$103,"&gt;0")</x:f>
        <x:v>2</x:v>
      </x:c>
      <x:c r="I5" t="n">
        <x:f>COUNTIFS('PO Data'!$B$4:$B$103,A5,'PO Data'!$L$4:$L$103,"&gt;0",'PO Data'!$O$4:$O$103,"&gt;0")</x:f>
        <x:v>0</x:v>
      </x:c>
      <x:c r="J5" t="n">
        <x:f>COUNTIFS('PO Data'!$B$4:$B$103,A5,'PO Data'!$L$4:$L$103,"&gt;0",'PO Data'!$Q$4:$Q$103,"High")+COUNTIFS('PO Data'!$B$4:$B$103,A5,'PO Data'!$L$4:$L$103,"&gt;0",'PO Data'!$Q$4:$Q$103,"Critical")</x:f>
        <x:v>0</x:v>
      </x:c>
    </x:row>
    <x:row r="6">
      <x:c r="A6" t="str">
        <x:v>Supplier C</x:v>
      </x:c>
      <x:c r="B6" t="n">
        <x:f>COUNTIF('PO Data'!$B$4:$B$103,A6)</x:f>
        <x:v>3</x:v>
      </x:c>
      <x:c r="C6" s="46" t="n">
        <x:f>SUMIF('PO Data'!$B$4:$B$103,A6,'PO Data'!$K$4:$K$103)</x:f>
        <x:v>23740</x:v>
      </x:c>
      <x:c r="D6" s="46" t="n">
        <x:f>SUMIF('PO Data'!$B$4:$B$103,A6,'PO Data'!$M$4:$M$103)</x:f>
        <x:v>23740</x:v>
      </x:c>
      <x:c r="E6" t="n">
        <x:f>SUMIF('PO Data'!$B$4:$B$103,A6,'PO Data'!$H$4:$H$103)</x:f>
        <x:v>15</x:v>
      </x:c>
      <x:c r="F6" t="n">
        <x:f>SUMIF('PO Data'!$B$4:$B$103,A6,'PO Data'!$I$4:$I$103)</x:f>
        <x:v>0</x:v>
      </x:c>
      <x:c r="G6" s="48" t="n">
        <x:f>IFERROR(F6/E6,0)</x:f>
        <x:v>0</x:v>
      </x:c>
      <x:c r="H6" t="n">
        <x:f>COUNTIFS('PO Data'!$B$4:$B$103,A6,'PO Data'!$L$4:$L$103,"&gt;0")</x:f>
        <x:v>3</x:v>
      </x:c>
      <x:c r="I6" t="n">
        <x:f>COUNTIFS('PO Data'!$B$4:$B$103,A6,'PO Data'!$L$4:$L$103,"&gt;0",'PO Data'!$O$4:$O$103,"&gt;0")</x:f>
        <x:v>1</x:v>
      </x:c>
      <x:c r="J6" t="n">
        <x:f>COUNTIFS('PO Data'!$B$4:$B$103,A6,'PO Data'!$L$4:$L$103,"&gt;0",'PO Data'!$Q$4:$Q$103,"High")+COUNTIFS('PO Data'!$B$4:$B$103,A6,'PO Data'!$L$4:$L$103,"&gt;0",'PO Data'!$Q$4:$Q$103,"Critical")</x:f>
        <x:v>1</x:v>
      </x:c>
    </x:row>
    <x:row r="7">
      <x:c r="C7" s="46"/>
      <x:c r="D7" s="46"/>
      <x:c r="G7" s="48"/>
    </x:row>
    <x:row r="8">
      <x:c r="C8" s="46"/>
      <x:c r="D8" s="46"/>
      <x:c r="G8" s="48"/>
    </x:row>
    <x:row r="9">
      <x:c r="C9" s="46"/>
      <x:c r="D9" s="46"/>
      <x:c r="G9" s="48"/>
    </x:row>
    <x:row r="10">
      <x:c r="A10" t="str">
        <x:v>Methodology notes</x:v>
      </x:c>
      <x:c r="B10"/>
      <x:c r="C10" s="46"/>
      <x:c r="D10" s="46"/>
      <x:c r="E10"/>
      <x:c r="F10"/>
      <x:c r="G10" s="48"/>
      <x:c r="H10"/>
      <x:c r="I10"/>
      <x:c r="J10"/>
    </x:row>
    <x:row r="11">
      <x:c r="A11" s="24" t="str">
        <x:v>Receipt rate uses quantity across different items and should not be used as a formal supplier performance score.</x:v>
      </x:c>
      <x:c r="B11" s="24"/>
      <x:c r="C11" s="50"/>
      <x:c r="D11" s="50"/>
      <x:c r="E11" s="24"/>
      <x:c r="F11" s="24"/>
      <x:c r="G11" s="51"/>
      <x:c r="H11" s="24"/>
      <x:c r="I11" s="24"/>
      <x:c r="J11" s="24"/>
    </x:row>
    <x:row r="12">
      <x:c r="C12" s="46"/>
      <x:c r="D12" s="46"/>
      <x:c r="G12" s="48"/>
    </x:row>
    <x:row r="13">
      <x:c r="C13" s="46"/>
      <x:c r="D13" s="46"/>
      <x:c r="G13" s="48"/>
    </x:row>
    <x:row r="14">
      <x:c r="C14" s="46"/>
      <x:c r="D14" s="46"/>
      <x:c r="G14" s="48"/>
    </x:row>
    <x:row r="15">
      <x:c r="C15" s="46"/>
      <x:c r="D15" s="46"/>
      <x:c r="G15" s="48"/>
    </x:row>
    <x:row r="16">
      <x:c r="C16" s="46"/>
      <x:c r="D16" s="46"/>
      <x:c r="G16" s="48"/>
    </x:row>
    <x:row r="17">
      <x:c r="C17" s="46"/>
      <x:c r="D17" s="46"/>
      <x:c r="G17" s="48"/>
    </x:row>
    <x:row r="18">
      <x:c r="C18" s="46"/>
      <x:c r="D18" s="46"/>
      <x:c r="G18" s="48"/>
    </x:row>
    <x:row r="19">
      <x:c r="C19" s="46"/>
      <x:c r="D19" s="46"/>
      <x:c r="G19" s="48"/>
    </x:row>
    <x:row r="20">
      <x:c r="C20" s="46"/>
      <x:c r="D20" s="46"/>
      <x:c r="G20" s="48"/>
    </x:row>
  </x:sheetData>
  <x:mergeCells>
    <x:mergeCell ref="A1:J1"/>
    <x:mergeCell ref="A11:J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6" customHeight="1">
      <x:c r="A1" s="4" t="str">
        <x:v>EVOF | Procurement KPI Dashboard — User Guide</x:v>
      </x:c>
      <x:c r="B1" s="4"/>
      <x:c r="C1" s="4"/>
      <x:c r="D1" s="4"/>
      <x:c r="E1" s="4"/>
      <x:c r="F1" s="4"/>
    </x:row>
    <x:row r="3" ht="42" customHeight="1">
      <x:c r="A3" s="31" t="str">
        <x:v>Purpose</x:v>
      </x:c>
      <x:c r="B3" s="24" t="str">
        <x:v>Convert purchase-order execution and risk-register records into a transparent procurement KPI dashboard.</x:v>
      </x:c>
    </x:row>
    <x:row r="4" ht="42" customHeight="1">
      <x:c r="A4" s="31" t="str">
        <x:v>Source</x:v>
      </x:c>
      <x:c r="B4" s="24" t="str">
        <x:v>Illustrative snapshot based on the EVOF Purchase Order &amp; Supply Risk Tracker.</x:v>
      </x:c>
    </x:row>
    <x:row r="5" ht="42" customHeight="1">
      <x:c r="A5" s="31" t="str">
        <x:v>Data classification</x:v>
      </x:c>
      <x:c r="B5" s="24" t="str">
        <x:v>SIMULATED / FICTIONAL — not client, employer, or live ERP data.</x:v>
      </x:c>
    </x:row>
    <x:row r="6" ht="42" customHeight="1">
      <x:c r="A6" s="31" t="str">
        <x:v>Step 1</x:v>
      </x:c>
      <x:c r="B6" s="24" t="str">
        <x:v>Review the reporting date and risk thresholds in Settings.</x:v>
      </x:c>
    </x:row>
    <x:row r="7" ht="42" customHeight="1">
      <x:c r="A7" s="31" t="str">
        <x:v>Step 2</x:v>
      </x:c>
      <x:c r="B7" s="24" t="str">
        <x:v>Update PO Data inputs: supplier, dates, quantities, prices, risk labels. Formula columns K–P calculate automatically.</x:v>
      </x:c>
    </x:row>
    <x:row r="8" ht="42" customHeight="1">
      <x:c r="A8" s="31" t="str">
        <x:v>Step 3</x:v>
      </x:c>
      <x:c r="B8" s="24" t="str">
        <x:v>Update Risk Data likelihood and impact; priority recalculates.</x:v>
      </x:c>
    </x:row>
    <x:row r="9" ht="42" customHeight="1">
      <x:c r="A9" s="31" t="str">
        <x:v>Step 4</x:v>
      </x:c>
      <x:c r="B9" s="24" t="str">
        <x:v>Review KPI Dashboard and Supplier Scorecard for exceptions.</x:v>
      </x:c>
    </x:row>
    <x:row r="10" ht="42" customHeight="1">
      <x:c r="A10" s="31" t="str">
        <x:v>Limitations</x:v>
      </x:c>
      <x:c r="B10" s="24" t="str">
        <x:v>Not automatically linked to the separate EVOF workbooks; import refreshed records manually.</x:v>
      </x:c>
    </x:row>
    <x:row r="11" ht="42" customHeight="1">
      <x:c r="A11" s="31" t="str">
        <x:v>On-time proxy</x:v>
      </x:c>
      <x:c r="B11" s="24" t="str">
        <x:v>Actual goods-receipt date is absent from source, so on-time delivery is only a revised-ETA proxy.</x:v>
      </x:c>
    </x:row>
    <x:row r="12" ht="42" customHeight="1">
      <x:c r="A12" s="31" t="str">
        <x:v>Scope</x:v>
      </x:c>
      <x:c r="B12" s="24" t="str">
        <x:v>Designed for demonstration of procurement analytics, not audited financial reporting.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4" t="str">
        <x:v>EVOF | KPI Configuration</x:v>
      </x:c>
      <x:c r="B1" s="4"/>
      <x:c r="C1" s="4"/>
      <x:c r="D1" s="4"/>
    </x:row>
    <x:row r="3" ht="32" customHeight="1">
      <x:c r="A3" s="11" t="str">
        <x:v>Parameter</x:v>
      </x:c>
      <x:c r="B3" s="11" t="str">
        <x:v>Value</x:v>
      </x:c>
    </x:row>
    <x:row r="4">
      <x:c r="A4" t="str">
        <x:v>Reporting date</x:v>
      </x:c>
      <x:c r="B4" s="16" t="n">
        <x:v>46310</x:v>
      </x:c>
    </x:row>
    <x:row r="5">
      <x:c r="A5" t="str">
        <x:v>On-time tolerance (days)</x:v>
      </x:c>
      <x:c r="B5" t="n">
        <x:v>0</x:v>
      </x:c>
    </x:row>
    <x:row r="6">
      <x:c r="A6" t="str">
        <x:v>Warning window (days)</x:v>
      </x:c>
      <x:c r="B6" t="n">
        <x:v>7</x:v>
      </x:c>
    </x:row>
    <x:row r="7">
      <x:c r="A7" t="str">
        <x:v>Target on-time delivery</x:v>
      </x:c>
      <x:c r="B7" s="22" t="n">
        <x:v>0.95</x:v>
      </x:c>
    </x:row>
    <x:row r="8">
      <x:c r="A8" t="str">
        <x:v>Critical risk threshold</x:v>
      </x:c>
      <x:c r="B8" t="n">
        <x:v>16</x:v>
      </x:c>
    </x:row>
    <x:row r="9">
      <x:c r="A9" t="str">
        <x:v>High risk threshold</x:v>
      </x:c>
      <x:c r="B9" t="n">
        <x:v>10</x:v>
      </x:c>
    </x:row>
    <x:row r="10">
      <x:c r="A10" t="str">
        <x:v>Medium risk threshold</x:v>
      </x:c>
      <x:c r="B10" t="n">
        <x:v>5</x:v>
      </x:c>
    </x:row>
    <x:row r="12">
      <x:c r="A12" s="24" t="str">
        <x:v>IMPORTANT</x:v>
      </x:c>
      <x:c r="B12" s="24" t="str"/>
      <x:c r="C12" s="24" t="str"/>
      <x:c r="D12" s="24" t="str"/>
    </x:row>
    <x:row r="13" ht="30" customHeight="1">
      <x:c r="A13" s="24" t="str">
        <x:v>Reporting date is a fixed demonstration snapshot. Change it to simulate another date.</x:v>
      </x:c>
      <x:c r="B13" s="24" t="str"/>
      <x:c r="C13" s="24" t="str"/>
      <x:c r="D13" s="24" t="str"/>
    </x:row>
    <x:row r="14" ht="30" customHeight="1">
      <x:c r="A14" s="24" t="str">
        <x:v>Data is simulated and copied from the EVOF PO &amp; Risk Tracker.</x:v>
      </x:c>
      <x:c r="B14" s="24" t="str"/>
      <x:c r="C14" s="24" t="str"/>
      <x:c r="D14" s="24" t="str"/>
    </x:row>
    <x:row r="15" ht="30" customHeight="1">
      <x:c r="A15" s="24" t="str">
        <x:v>The two workbooks are not automatically synchronized.</x:v>
      </x:c>
      <x:c r="B15" s="24" t="str"/>
      <x:c r="C15" s="24" t="str"/>
      <x:c r="D15" s="24" t="str"/>
    </x:row>
  </x:sheetData>
  <x:mergeCells>
    <x:mergeCell ref="A1:D1"/>
  </x:mergeCells>
  <x:pageMargins left="0.7" right="0.7" top="0.75" bottom="0.75" header="0.3" footer="0.3"/>
</x:worksheet>
</file>