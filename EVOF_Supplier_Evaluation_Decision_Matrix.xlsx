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358cde85b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fb0baaaa6ef4575"/>
    <x:sheet xmlns:r="http://schemas.openxmlformats.org/officeDocument/2006/relationships" name="Scoring Model" sheetId="2" r:id="R6320f70d207e420a"/>
    <x:sheet xmlns:r="http://schemas.openxmlformats.org/officeDocument/2006/relationships" name="RFQ Comparison" sheetId="3" r:id="R83b985ab2aea4783"/>
    <x:sheet xmlns:r="http://schemas.openxmlformats.org/officeDocument/2006/relationships" name="Decision Summary" sheetId="4" r:id="Rbc8da609ce03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34A"/>
      </x:patternFill>
    </x:fill>
    <x:fill>
      <x:patternFill patternType="solid">
        <x:fgColor rgb="FFE9F4F5"/>
      </x:patternFill>
    </x:fill>
    <x:fill>
      <x:patternFill patternType="solid">
        <x:fgColor rgb="FF167D87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2cb9a3cd24ab2" /><Relationship Type="http://schemas.openxmlformats.org/officeDocument/2006/relationships/theme" Target="/xl/theme/theme1.xml" Id="Rdb79e30dd6f944a7" /><Relationship Type="http://schemas.openxmlformats.org/officeDocument/2006/relationships/sharedStrings" Target="/xl/sharedStrings.xml" Id="R0b62f3f14f744cbc" /><Relationship Type="http://schemas.openxmlformats.org/officeDocument/2006/relationships/worksheet" Target="/xl/worksheets/sheet1.xml" Id="Rcfb0baaaa6ef4575" /><Relationship Type="http://schemas.openxmlformats.org/officeDocument/2006/relationships/worksheet" Target="/xl/worksheets/sheet2.xml" Id="R6320f70d207e420a" /><Relationship Type="http://schemas.openxmlformats.org/officeDocument/2006/relationships/worksheet" Target="/xl/worksheets/sheet3.xml" Id="R83b985ab2aea4783" /><Relationship Type="http://schemas.openxmlformats.org/officeDocument/2006/relationships/worksheet" Target="/xl/worksheets/sheet4.xml" Id="Rbc8da609ce0341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31355425444a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Supplier comparison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Landed cost</c:v>
          </c:tx>
          <c:cat>
            <c:strRef>
              <c:f>'Decision Summary'!$A$12:$A$14</c:f>
              <c:strCache>
                <c:ptCount val="0"/>
              </c:strCache>
            </c:strRef>
          </c:cat>
          <c:val>
            <c:numRef>
              <c:f>'Decision Summary'!$B$12:$B$14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Weighted score</c:v>
          </c:tx>
          <c:cat>
            <c:strRef>
              <c:f>'Decision Summary'!$A$12:$A$14</c:f>
              <c:strCache>
                <c:ptCount val="0"/>
              </c:strCache>
            </c:strRef>
          </c:cat>
          <c:val>
            <c:numRef>
              <c:f>'Decision Summary'!$C$12:$C$14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31355425444a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6990ec0f147e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3" t="str">
        <x:v>EVOF  |  Supplier Evaluation &amp; Decision Matrix</x:v>
      </x:c>
      <x:c r="B1" s="3"/>
      <x:c r="C1" s="3"/>
      <x:c r="D1" s="3"/>
      <x:c r="E1" s="3"/>
      <x:c r="F1" s="3"/>
    </x:row>
    <x:row r="3">
      <x:c r="A3" s="7" t="str">
        <x:v>PROJECT</x:v>
      </x:c>
      <x:c r="B3" s="10" t="str">
        <x:v>Independent portfolio demonstration</x:v>
      </x:c>
    </x:row>
    <x:row r="4">
      <x:c r="A4" s="7" t="str">
        <x:v>CASE</x:v>
      </x:c>
      <x:c r="B4" s="10" t="str">
        <x:v>Purchase of 100 industrial pneumatic actuators</x:v>
      </x:c>
    </x:row>
    <x:row r="5">
      <x:c r="A5" s="7" t="str">
        <x:v>STATUS</x:v>
      </x:c>
      <x:c r="B5" s="10" t="str">
        <x:v>Functional prototype; fictional suppliers and figures</x:v>
      </x:c>
    </x:row>
    <x:row r="6">
      <x:c r="A6" s="7" t="str">
        <x:v>CURRENCY</x:v>
      </x:c>
      <x:c r="B6" s="10" t="str">
        <x:v>USD (illustrative)</x:v>
      </x:c>
    </x:row>
    <x:row r="7">
      <x:c r="A7" s="7" t="str">
        <x:v>PURPOSE</x:v>
      </x:c>
      <x:c r="B7" s="10" t="str">
        <x:v>Compare commercial offers with risk-adjusted scoring</x:v>
      </x:c>
    </x:row>
    <x:row r="8">
      <x:c r="A8" s="7" t="str">
        <x:v>DECISION RULE</x:v>
      </x:c>
      <x:c r="B8" s="10" t="str">
        <x:v>Highest eligible weighted score; budget and mandatory gates</x:v>
      </x:c>
    </x:row>
    <x:row r="9">
      <x:c r="A9" s="7" t="str">
        <x:v>INPUTS</x:v>
      </x:c>
      <x:c r="B9" s="10" t="str">
        <x:v>Blue-tinted cells in Scoring Model and RFQ Comparison</x:v>
      </x:c>
    </x:row>
    <x:row r="10">
      <x:c r="A10" s="7" t="str">
        <x:v>CALCULATIONS</x:v>
      </x:c>
      <x:c r="B10" s="10" t="str">
        <x:v>Weighted scores and totals are formula-driven</x:v>
      </x:c>
    </x:row>
    <x:row r="11">
      <x:c r="A11" s="7" t="str">
        <x:v>IMPORTANT</x:v>
      </x:c>
      <x:c r="B11" s="10" t="str">
        <x:v>No real suppliers, quotations or deployed business outcomes</x:v>
      </x:c>
    </x:row>
    <x:row r="13" ht="29" customHeight="1">
      <x:c r="A13" s="14" t="str">
        <x:v>WORKFLOW</x:v>
      </x:c>
      <x:c r="B13" s="14" t="str">
        <x:v>1. Review criteria</x:v>
      </x:c>
      <x:c r="C13" s="14" t="str">
        <x:v>2. Enter quotations</x:v>
      </x:c>
      <x:c r="D13" s="14" t="str">
        <x:v>3. Review scores</x:v>
      </x:c>
      <x:c r="E13" s="14" t="str">
        <x:v>4. Validate risk</x:v>
      </x:c>
      <x:c r="F13" s="14" t="str">
        <x:v>5. Approve decision</x:v>
      </x:c>
    </x:row>
    <x:row r="15">
      <x:c r="A15" t="str">
        <x:v>Methodology note</x:v>
      </x:c>
    </x:row>
    <x:row r="16">
      <x:c r="A16" s="10" t="str">
        <x:v>Prices and supplier performance ratings are hypothetical. The model is intended to demonstrate structured decision-making, not a validated supplier qualification process.</x:v>
      </x:c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</x:sheetData>
  <x:mergeCells>
    <x:mergeCell ref="A1:F1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20" hidden="0" customWidth="1"/>
    <x:col min="4" max="4" width="46" hidden="0" customWidth="1"/>
    <x:col min="5" max="5" width="39" hidden="0" customWidth="1"/>
  </x:cols>
  <x:sheetData>
    <x:row r="1" ht="34" customHeight="1">
      <x:c r="A1" s="3" t="str">
        <x:v>Evaluation Criteria &amp; Adjustable Weights</x:v>
      </x:c>
      <x:c r="B1" s="3"/>
      <x:c r="C1" s="3"/>
      <x:c r="D1" s="3"/>
      <x:c r="E1" s="3"/>
    </x:row>
    <x:row r="3" ht="29" customHeight="1">
      <x:c r="A3" s="14" t="str">
        <x:v>Criterion</x:v>
      </x:c>
      <x:c r="B3" s="14" t="str">
        <x:v>Weight</x:v>
      </x:c>
      <x:c r="C3" s="14" t="str">
        <x:v>Direction</x:v>
      </x:c>
      <x:c r="D3" s="14" t="str">
        <x:v>Scoring method</x:v>
      </x:c>
      <x:c r="E3" s="14" t="str">
        <x:v>Interpretation</x:v>
      </x:c>
    </x:row>
    <x:row r="4">
      <x:c r="A4" t="str">
        <x:v>Total landed cost</x:v>
      </x:c>
      <x:c r="B4" s="20" t="n">
        <x:v>0.35</x:v>
      </x:c>
      <x:c r="C4" t="str">
        <x:v>Lower is better</x:v>
      </x:c>
      <x:c r="D4" t="str">
        <x:v>Minimum eligible cost / supplier cost × 100</x:v>
      </x:c>
      <x:c r="E4" t="str">
        <x:v>Includes freight and duties</x:v>
      </x:c>
    </x:row>
    <x:row r="5">
      <x:c r="A5" t="str">
        <x:v>Lead time</x:v>
      </x:c>
      <x:c r="B5" s="20" t="n">
        <x:v>0.25</x:v>
      </x:c>
      <x:c r="C5" t="str">
        <x:v>Lower is better</x:v>
      </x:c>
      <x:c r="D5" t="str">
        <x:v>Minimum eligible lead / supplier lead × 100</x:v>
      </x:c>
      <x:c r="E5" t="str">
        <x:v>Calendar days</x:v>
      </x:c>
    </x:row>
    <x:row r="6">
      <x:c r="A6" t="str">
        <x:v>Quality</x:v>
      </x:c>
      <x:c r="B6" s="20" t="n">
        <x:v>0.2</x:v>
      </x:c>
      <x:c r="C6" t="str">
        <x:v>Higher is better</x:v>
      </x:c>
      <x:c r="D6" t="str">
        <x:v>Rating / 5 × 100</x:v>
      </x:c>
      <x:c r="E6" t="str">
        <x:v>Fictional supplier assessment</x:v>
      </x:c>
    </x:row>
    <x:row r="7">
      <x:c r="A7" t="str">
        <x:v>Payment terms</x:v>
      </x:c>
      <x:c r="B7" s="20" t="n">
        <x:v>0.1</x:v>
      </x:c>
      <x:c r="C7" t="str">
        <x:v>Higher is better</x:v>
      </x:c>
      <x:c r="D7" t="str">
        <x:v>Days / maximum days × 100</x:v>
      </x:c>
      <x:c r="E7" t="str">
        <x:v>Net days</x:v>
      </x:c>
    </x:row>
    <x:row r="8">
      <x:c r="A8" t="str">
        <x:v>Supply risk</x:v>
      </x:c>
      <x:c r="B8" s="20" t="n">
        <x:v>0.1</x:v>
      </x:c>
      <x:c r="C8" t="str">
        <x:v>Lower is better</x:v>
      </x:c>
      <x:c r="D8" t="str">
        <x:v>(6 − risk rating) / 5 × 100</x:v>
      </x:c>
      <x:c r="E8" t="str">
        <x:v>1 = lowest risk; 5 = highest</x:v>
      </x:c>
    </x:row>
    <x:row r="10">
      <x:c r="A10" t="str">
        <x:v>Total weight</x:v>
      </x:c>
      <x:c r="B10" s="18" t="n">
        <x:f>SUM(B4:B8)</x:f>
        <x:v>1</x:v>
      </x:c>
    </x:row>
    <x:row r="12" ht="29" customHeight="1">
      <x:c r="A12" s="14" t="str">
        <x:v>Mandatory controls</x:v>
      </x:c>
      <x:c r="B12" s="14" t="str">
        <x:v>Value</x:v>
      </x:c>
    </x:row>
    <x:row r="13">
      <x:c r="A13" t="str">
        <x:v>Maximum landed cost (USD)</x:v>
      </x:c>
      <x:c r="B13" s="22" t="n">
        <x:v>13000</x:v>
      </x:c>
    </x:row>
    <x:row r="14">
      <x:c r="A14" t="str">
        <x:v>Maximum lead time (days)</x:v>
      </x:c>
      <x:c r="B14" s="22" t="n">
        <x:v>45</x:v>
      </x:c>
    </x:row>
    <x:row r="15">
      <x:c r="A15" t="str">
        <x:v>Minimum quality rating (1–5)</x:v>
      </x:c>
      <x:c r="B15" s="22" t="n">
        <x:v>3</x:v>
      </x:c>
    </x:row>
    <x:row r="17">
      <x:c r="A17" t="str">
        <x:v>Model guidance</x:v>
      </x:c>
    </x:row>
    <x:row r="18">
      <x:c r="A18" s="10" t="str">
        <x:v>Weights should sum to 100%. Suppliers failing any mandatory control are ineligible regardless of weighted score. Scores are normalized to the best eligible offer where relevant.</x:v>
      </x:c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</x:sheetData>
  <x:mergeCells>
    <x:mergeCell ref="A1:E1"/>
    <x:mergeCell ref="A18:E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2" hidden="0" customWidth="1"/>
    <x:col min="4" max="4" width="17" hidden="0" customWidth="1"/>
    <x:col min="5" max="5" width="16" hidden="0" customWidth="1"/>
    <x:col min="6" max="6" width="20" hidden="0" customWidth="1"/>
    <x:col min="7" max="7" width="17" hidden="0" customWidth="1"/>
    <x:col min="8" max="8" width="16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5" hidden="0" customWidth="1"/>
    <x:col min="14" max="14" width="15" hidden="0" customWidth="1"/>
    <x:col min="15" max="15" width="14" hidden="0" customWidth="1"/>
    <x:col min="16" max="16" width="19" hidden="0" customWidth="1"/>
    <x:col min="17" max="17" width="15" hidden="0" customWidth="1"/>
    <x:col min="18" max="18" width="14" hidden="0" customWidth="1"/>
    <x:col min="19" max="19" width="16" hidden="0" customWidth="1"/>
    <x:col min="20" max="20" width="15" hidden="0" customWidth="1"/>
    <x:col min="21" max="21" width="38" hidden="0" customWidth="1"/>
  </x:cols>
  <x:sheetData>
    <x:row r="1" ht="34" customHeight="1">
      <x:c r="A1" s="3" t="str">
        <x:v>RFQ Comparison  |  Industrial Pneumatic Actuators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4" ht="29" customHeight="1">
      <x:c r="A4" s="14" t="str">
        <x:v>Supplier</x:v>
      </x:c>
      <x:c r="B4" s="14" t="str">
        <x:v>Unit price USD</x:v>
      </x:c>
      <x:c r="C4" s="14" t="str">
        <x:v>Quantity</x:v>
      </x:c>
      <x:c r="D4" s="14" t="str">
        <x:v>Freight USD</x:v>
      </x:c>
      <x:c r="E4" s="14" t="str">
        <x:v>Duties USD</x:v>
      </x:c>
      <x:c r="F4" s="14" t="str">
        <x:v>Landed cost USD</x:v>
      </x:c>
      <x:c r="G4" s="14" t="str">
        <x:v>Lead time days</x:v>
      </x:c>
      <x:c r="H4" s="14" t="str">
        <x:v>Quality 1–5</x:v>
      </x:c>
      <x:c r="I4" s="14" t="str">
        <x:v>Payment net days</x:v>
      </x:c>
      <x:c r="J4" s="14" t="str">
        <x:v>Risk 1–5</x:v>
      </x:c>
      <x:c r="K4" s="14" t="str">
        <x:v>Cost score</x:v>
      </x:c>
      <x:c r="L4" s="14" t="str">
        <x:v>Lead score</x:v>
      </x:c>
      <x:c r="M4" s="14" t="str">
        <x:v>Quality score</x:v>
      </x:c>
      <x:c r="N4" s="14" t="str">
        <x:v>Terms score</x:v>
      </x:c>
      <x:c r="O4" s="14" t="str">
        <x:v>Risk score</x:v>
      </x:c>
      <x:c r="P4" s="14" t="str">
        <x:v>Weighted score</x:v>
      </x:c>
      <x:c r="Q4" s="14" t="str">
        <x:v>Budget gate</x:v>
      </x:c>
      <x:c r="R4" s="14" t="str">
        <x:v>Lead gate</x:v>
      </x:c>
      <x:c r="S4" s="14" t="str">
        <x:v>Quality gate</x:v>
      </x:c>
      <x:c r="T4" s="14" t="str">
        <x:v>Eligible?</x:v>
      </x:c>
      <x:c r="U4" s="14" t="str">
        <x:v>Notes</x:v>
      </x:c>
    </x:row>
    <x:row r="5">
      <x:c r="A5" t="str">
        <x:v>Supplier A</x:v>
      </x:c>
      <x:c r="B5" s="24" t="n">
        <x:v>112</x:v>
      </x:c>
      <x:c r="C5" s="22" t="n">
        <x:v>100</x:v>
      </x:c>
      <x:c r="D5" s="24" t="n">
        <x:v>1100</x:v>
      </x:c>
      <x:c r="E5" s="24" t="n">
        <x:v>500</x:v>
      </x:c>
      <x:c r="F5" s="26" t="n">
        <x:f>B5*C5+D5+E5</x:f>
        <x:v>12800</x:v>
      </x:c>
      <x:c r="G5" s="22" t="n">
        <x:v>25</x:v>
      </x:c>
      <x:c r="H5" s="22" t="n">
        <x:v>4.5</x:v>
      </x:c>
      <x:c r="I5" s="22" t="n">
        <x:v>30</x:v>
      </x:c>
      <x:c r="J5" s="22" t="n">
        <x:v>2</x:v>
      </x:c>
      <x:c r="K5" s="28" t="n">
        <x:f>IFERROR(_xlfn.MINIFS($F$5:$F$7,$T$5:$T$7,"YES")/F5*100,0)</x:f>
        <x:v>100</x:v>
      </x:c>
      <x:c r="L5" s="28" t="n">
        <x:f>IFERROR(_xlfn.MINIFS($G$5:$G$7,$T$5:$T$7,"YES")/G5*100,0)</x:f>
        <x:v>100</x:v>
      </x:c>
      <x:c r="M5" s="28" t="n">
        <x:f>H5/5*100</x:f>
        <x:v>90</x:v>
      </x:c>
      <x:c r="N5" s="28" t="n">
        <x:f>IFERROR(I5/MAX($I$5:$I$7)*100,0)</x:f>
        <x:v>66.66666666666666</x:v>
      </x:c>
      <x:c r="O5" s="28" t="n">
        <x:f>(6-J5)/5*100</x:f>
        <x:v>80</x:v>
      </x:c>
      <x:c r="P5" s="28" t="n">
        <x:f>IF('Scoring Model'!$B$10&lt;&gt;1,0,K5*'Scoring Model'!$B$4+L5*'Scoring Model'!$B$5+M5*'Scoring Model'!$B$6+N5*'Scoring Model'!$B$7+O5*'Scoring Model'!$B$8)</x:f>
        <x:v>92.66666666666667</x:v>
      </x:c>
      <x:c r="Q5" t="str">
        <x:f>IF(F5&lt;='Scoring Model'!$B$13,"PASS","FAIL")</x:f>
        <x:v>PASS</x:v>
      </x:c>
      <x:c r="R5" t="str">
        <x:f>IF(G5&lt;='Scoring Model'!$B$14,"PASS","FAIL")</x:f>
        <x:v>PASS</x:v>
      </x:c>
      <x:c r="S5" t="str">
        <x:f>IF(H5&gt;='Scoring Model'!$B$15,"PASS","FAIL")</x:f>
        <x:v>PASS</x:v>
      </x:c>
      <x:c r="T5" t="str">
        <x:f>IF(AND(Q5="PASS",R5="PASS",S5="PASS"),"YES","NO")</x:f>
        <x:v>YES</x:v>
      </x:c>
      <x:c r="U5" s="22" t="str">
        <x:v>Lowest lead time; mid-range cost</x:v>
      </x:c>
    </x:row>
    <x:row r="6">
      <x:c r="A6" t="str">
        <x:v>Supplier B</x:v>
      </x:c>
      <x:c r="B6" s="24" t="n">
        <x:v>105</x:v>
      </x:c>
      <x:c r="C6" s="22" t="n">
        <x:v>100</x:v>
      </x:c>
      <x:c r="D6" s="24" t="n">
        <x:v>1750</x:v>
      </x:c>
      <x:c r="E6" s="24" t="n">
        <x:v>550</x:v>
      </x:c>
      <x:c r="F6" s="26" t="n">
        <x:f>B6*C6+D6+E6</x:f>
        <x:v>12800</x:v>
      </x:c>
      <x:c r="G6" s="22" t="n">
        <x:v>38</x:v>
      </x:c>
      <x:c r="H6" s="22" t="n">
        <x:v>4.8</x:v>
      </x:c>
      <x:c r="I6" s="22" t="n">
        <x:v>45</x:v>
      </x:c>
      <x:c r="J6" s="22" t="n">
        <x:v>3</x:v>
      </x:c>
      <x:c r="K6" s="28" t="n">
        <x:f>IFERROR(_xlfn.MINIFS($F$5:$F$7,$T$5:$T$7,"YES")/F6*100,0)</x:f>
        <x:v>100</x:v>
      </x:c>
      <x:c r="L6" s="28" t="n">
        <x:f>IFERROR(_xlfn.MINIFS($G$5:$G$7,$T$5:$T$7,"YES")/G6*100,0)</x:f>
        <x:v>65.78947368421053</x:v>
      </x:c>
      <x:c r="M6" s="28" t="n">
        <x:f>H6/5*100</x:f>
        <x:v>96</x:v>
      </x:c>
      <x:c r="N6" s="28" t="n">
        <x:f>IFERROR(I6/MAX($I$5:$I$7)*100,0)</x:f>
        <x:v>100</x:v>
      </x:c>
      <x:c r="O6" s="28" t="n">
        <x:f>(6-J6)/5*100</x:f>
        <x:v>60</x:v>
      </x:c>
      <x:c r="P6" s="28" t="n">
        <x:f>IF('Scoring Model'!$B$10&lt;&gt;1,0,K6*'Scoring Model'!$B$4+L6*'Scoring Model'!$B$5+M6*'Scoring Model'!$B$6+N6*'Scoring Model'!$B$7+O6*'Scoring Model'!$B$8)</x:f>
        <x:v>86.64736842105263</x:v>
      </x:c>
      <x:c r="Q6" t="str">
        <x:f>IF(F6&lt;='Scoring Model'!$B$13,"PASS","FAIL")</x:f>
        <x:v>PASS</x:v>
      </x:c>
      <x:c r="R6" t="str">
        <x:f>IF(G6&lt;='Scoring Model'!$B$14,"PASS","FAIL")</x:f>
        <x:v>PASS</x:v>
      </x:c>
      <x:c r="S6" t="str">
        <x:f>IF(H6&gt;='Scoring Model'!$B$15,"PASS","FAIL")</x:f>
        <x:v>PASS</x:v>
      </x:c>
      <x:c r="T6" t="str">
        <x:f>IF(AND(Q6="PASS",R6="PASS",S6="PASS"),"YES","NO")</x:f>
        <x:v>YES</x:v>
      </x:c>
      <x:c r="U6" s="22" t="str">
        <x:v>Higher quality rating; longer lead</x:v>
      </x:c>
    </x:row>
    <x:row r="7">
      <x:c r="A7" t="str">
        <x:v>Supplier C</x:v>
      </x:c>
      <x:c r="B7" s="24" t="n">
        <x:v>119</x:v>
      </x:c>
      <x:c r="C7" s="22" t="n">
        <x:v>100</x:v>
      </x:c>
      <x:c r="D7" s="24" t="n">
        <x:v>700</x:v>
      </x:c>
      <x:c r="E7" s="24" t="n">
        <x:v>450</x:v>
      </x:c>
      <x:c r="F7" s="26" t="n">
        <x:f>B7*C7+D7+E7</x:f>
        <x:v>13050</x:v>
      </x:c>
      <x:c r="G7" s="22" t="n">
        <x:v>19</x:v>
      </x:c>
      <x:c r="H7" s="22" t="n">
        <x:v>3.8</x:v>
      </x:c>
      <x:c r="I7" s="22" t="n">
        <x:v>15</x:v>
      </x:c>
      <x:c r="J7" s="22" t="n">
        <x:v>1</x:v>
      </x:c>
      <x:c r="K7" s="28" t="n">
        <x:f>IFERROR(_xlfn.MINIFS($F$5:$F$7,$T$5:$T$7,"YES")/F7*100,0)</x:f>
        <x:v>98.08429118773945</x:v>
      </x:c>
      <x:c r="L7" s="28" t="n">
        <x:f>IFERROR(_xlfn.MINIFS($G$5:$G$7,$T$5:$T$7,"YES")/G7*100,0)</x:f>
        <x:v>131.57894736842107</x:v>
      </x:c>
      <x:c r="M7" s="28" t="n">
        <x:f>H7/5*100</x:f>
        <x:v>76</x:v>
      </x:c>
      <x:c r="N7" s="28" t="n">
        <x:f>IFERROR(I7/MAX($I$5:$I$7)*100,0)</x:f>
        <x:v>33.33333333333333</x:v>
      </x:c>
      <x:c r="O7" s="28" t="n">
        <x:f>(6-J7)/5*100</x:f>
        <x:v>100</x:v>
      </x:c>
      <x:c r="P7" s="28" t="n">
        <x:f>IF('Scoring Model'!$B$10&lt;&gt;1,0,K7*'Scoring Model'!$B$4+L7*'Scoring Model'!$B$5+M7*'Scoring Model'!$B$6+N7*'Scoring Model'!$B$7+O7*'Scoring Model'!$B$8)</x:f>
        <x:v>95.75757209114741</x:v>
      </x:c>
      <x:c r="Q7" t="str">
        <x:f>IF(F7&lt;='Scoring Model'!$B$13,"PASS","FAIL")</x:f>
        <x:v>FAIL</x:v>
      </x:c>
      <x:c r="R7" t="str">
        <x:f>IF(G7&lt;='Scoring Model'!$B$14,"PASS","FAIL")</x:f>
        <x:v>PASS</x:v>
      </x:c>
      <x:c r="S7" t="str">
        <x:f>IF(H7&gt;='Scoring Model'!$B$15,"PASS","FAIL")</x:f>
        <x:v>PASS</x:v>
      </x:c>
      <x:c r="T7" t="str">
        <x:f>IF(AND(Q7="PASS",R7="PASS",S7="PASS"),"YES","NO")</x:f>
        <x:v>NO</x:v>
      </x:c>
      <x:c r="U7" s="22" t="str">
        <x:v>Fastest delivery; higher landed cost</x:v>
      </x:c>
    </x:row>
    <x:row r="9">
      <x:c r="A9" s="10" t="str">
        <x:v>Instructions: modify supplier inputs in blue cells. Adjust scoring weights and thresholds on Scoring Model. Do not overwrite formula cells.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</x:row>
  </x:sheetData>
  <x:mergeCells>
    <x:mergeCell ref="A1:U1"/>
    <x:mergeCell ref="A9:U9"/>
  </x:mergeCells>
  <x:conditionalFormatting sqref="P5:P7">
    <x:cfRule type="dataBar" priority="1">
      <x:dataBar>
        <x:cfvo type="min"/>
        <x:cfvo type="max"/>
        <x:color rgb="FF168A8F"/>
      </x:dataBar>
      <x:extLst>
        <x:ext xmlns:x14="http://schemas.microsoft.com/office/spreadsheetml/2009/9/main" uri="{B025F937-C7B1-47D3-B67F-A62EFF666E3E}">
          <x14:id>{BC7F3261-BB46-BB60-3C81-9545D02CCF6A}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7F3261-BB46-BB60-3C81-9545D02CCF6A}">
            <x14:dataBar gradient="1">
              <x14:cfvo type="min"/>
              <x14:cfvo type="max"/>
              <x14:fillColor rgb="FF168A8F"/>
            </x14:dataBar>
          </x14:cfRule>
          <xm:sqref>P5:P7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Procurement Decision  |  Executive Summary</x:v>
      </x:c>
      <x:c r="B1" s="3"/>
      <x:c r="C1" s="3"/>
      <x:c r="D1" s="3"/>
      <x:c r="E1" s="3"/>
      <x:c r="F1" s="3"/>
      <x:c r="G1" s="3"/>
    </x:row>
    <x:row r="3" ht="29" customHeight="1">
      <x:c r="A3" s="14" t="str">
        <x:v>Metric</x:v>
      </x:c>
      <x:c r="B3" s="14" t="str">
        <x:v>Result</x:v>
      </x:c>
    </x:row>
    <x:row r="4">
      <x:c r="A4" t="str">
        <x:v>Eligible suppliers</x:v>
      </x:c>
      <x:c r="B4" t="n">
        <x:f>COUNTIF('RFQ Comparison'!T5:T7,"YES")</x:f>
        <x:v>2</x:v>
      </x:c>
    </x:row>
    <x:row r="5">
      <x:c r="A5" t="str">
        <x:v>Recommended supplier</x:v>
      </x:c>
      <x:c r="B5" t="str">
        <x:f>IF(OR('Scoring Model'!B10&lt;&gt;1,B4=0),"REVIEW REQUIRED",IF(AND('RFQ Comparison'!T5="YES",'RFQ Comparison'!P5&gt;=IF('RFQ Comparison'!T6="YES",'RFQ Comparison'!P6,-1),'RFQ Comparison'!P5&gt;=IF('RFQ Comparison'!T7="YES",'RFQ Comparison'!P7,-1)),'RFQ Comparison'!A5,IF(AND('RFQ Comparison'!T6="YES",'RFQ Comparison'!P6&gt;=IF('RFQ Comparison'!T7="YES",'RFQ Comparison'!P7,-1)),'RFQ Comparison'!A6,'RFQ Comparison'!A7)))</x:f>
        <x:v>Supplier A</x:v>
      </x:c>
    </x:row>
    <x:row r="6">
      <x:c r="A6" t="str">
        <x:v>Recommended landed cost</x:v>
      </x:c>
      <x:c r="B6" s="26" t="n">
        <x:f>IFERROR(INDEX('RFQ Comparison'!F5:F7,MATCH(B5,'RFQ Comparison'!A5:A7,0)),0)</x:f>
        <x:v>12800</x:v>
      </x:c>
    </x:row>
    <x:row r="7">
      <x:c r="A7" t="str">
        <x:v>Recommended lead time (days)</x:v>
      </x:c>
      <x:c r="B7" t="n">
        <x:f>IFERROR(INDEX('RFQ Comparison'!G5:G7,MATCH(B5,'RFQ Comparison'!A5:A7,0)),0)</x:f>
        <x:v>25</x:v>
      </x:c>
    </x:row>
    <x:row r="8">
      <x:c r="A8" t="str">
        <x:v>Recommended weighted score</x:v>
      </x:c>
      <x:c r="B8" s="28" t="n">
        <x:f>IFERROR(INDEX('RFQ Comparison'!P5:P7,MATCH(B5,'RFQ Comparison'!A5:A7,0)),0)</x:f>
        <x:v>92.66666666666667</x:v>
      </x:c>
    </x:row>
    <x:row r="11" ht="29" customHeight="1">
      <x:c r="A11" s="14" t="str">
        <x:v>Supplier</x:v>
      </x:c>
      <x:c r="B11" s="14" t="str">
        <x:v>Landed cost</x:v>
      </x:c>
      <x:c r="C11" s="14" t="str">
        <x:v>Weighted score</x:v>
      </x:c>
      <x:c r="D11" s="14" t="str">
        <x:v>Eligibility</x:v>
      </x:c>
    </x:row>
    <x:row r="12">
      <x:c r="A12" t="str">
        <x:f>'RFQ Comparison'!A5</x:f>
        <x:v>Supplier A</x:v>
      </x:c>
      <x:c r="B12" s="26" t="n">
        <x:f>'RFQ Comparison'!F5</x:f>
        <x:v>12800</x:v>
      </x:c>
      <x:c r="C12" s="28" t="n">
        <x:f>'RFQ Comparison'!P5</x:f>
        <x:v>92.66666666666667</x:v>
      </x:c>
      <x:c r="D12" t="str">
        <x:f>'RFQ Comparison'!T5</x:f>
        <x:v>YES</x:v>
      </x:c>
    </x:row>
    <x:row r="13">
      <x:c r="A13" t="str">
        <x:f>'RFQ Comparison'!A6</x:f>
        <x:v>Supplier B</x:v>
      </x:c>
      <x:c r="B13" s="26" t="n">
        <x:f>'RFQ Comparison'!F6</x:f>
        <x:v>12800</x:v>
      </x:c>
      <x:c r="C13" s="28" t="n">
        <x:f>'RFQ Comparison'!P6</x:f>
        <x:v>86.64736842105263</x:v>
      </x:c>
      <x:c r="D13" t="str">
        <x:f>'RFQ Comparison'!T6</x:f>
        <x:v>YES</x:v>
      </x:c>
    </x:row>
    <x:row r="14">
      <x:c r="A14" t="str">
        <x:f>'RFQ Comparison'!A7</x:f>
        <x:v>Supplier C</x:v>
      </x:c>
      <x:c r="B14" s="26" t="n">
        <x:f>'RFQ Comparison'!F7</x:f>
        <x:v>13050</x:v>
      </x:c>
      <x:c r="C14" s="28" t="n">
        <x:f>'RFQ Comparison'!P7</x:f>
        <x:v>95.75757209114741</x:v>
      </x:c>
      <x:c r="D14" t="str">
        <x:f>'RFQ Comparison'!T7</x:f>
        <x:v>NO</x:v>
      </x:c>
    </x:row>
    <x:row r="17">
      <x:c r="A17" t="str">
        <x:v>Decision safeguards</x:v>
      </x:c>
    </x:row>
    <x:row r="18">
      <x:c r="A18" s="10" t="str">
        <x:v>• The recommendation is conditional on all mandatory gates passing.</x:v>
      </x:c>
      <x:c r="B18" s="10"/>
      <x:c r="C18" s="10"/>
      <x:c r="D18" s="10"/>
      <x:c r="E18" s="10"/>
      <x:c r="F18" s="10"/>
      <x:c r="G18" s="10"/>
    </x:row>
    <x:row r="19">
      <x:c r="A19" s="10" t="str">
        <x:v>• Weighting and scoring rules are illustrative, not an approved procurement policy.</x:v>
      </x:c>
      <x:c r="B19" s="10"/>
      <x:c r="C19" s="10"/>
      <x:c r="D19" s="10"/>
      <x:c r="E19" s="10"/>
      <x:c r="F19" s="10"/>
      <x:c r="G19" s="10"/>
    </x:row>
    <x:row r="20">
      <x:c r="A20" s="10" t="str">
        <x:v>• Validate capacity, warranties, compliance and supplier references before any real award.</x:v>
      </x:c>
      <x:c r="B20" s="10"/>
      <x:c r="C20" s="10"/>
      <x:c r="D20" s="10"/>
      <x:c r="E20" s="10"/>
      <x:c r="F20" s="10"/>
      <x:c r="G20" s="10"/>
    </x:row>
    <x:row r="21">
      <x:c r="A21" s="10" t="str">
        <x:v>• A tie in score requires manual review; do not rely solely on the automated recommendation.</x:v>
      </x:c>
      <x:c r="B21" s="10"/>
      <x:c r="C21" s="10"/>
      <x:c r="D21" s="10"/>
      <x:c r="E21" s="10"/>
      <x:c r="F21" s="10"/>
      <x:c r="G21" s="10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dc56990ec0f147e3"/>
</x:worksheet>
</file>