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e34180f32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dfbe553279848e0"/>
    <x:sheet xmlns:r="http://schemas.openxmlformats.org/officeDocument/2006/relationships" name="CONTROL TOWER" sheetId="2" r:id="Rc23f3e9457f94217"/>
    <x:sheet xmlns:r="http://schemas.openxmlformats.org/officeDocument/2006/relationships" name="SUPPLIERS" sheetId="3" r:id="Rde1fc913da0f4f1d"/>
    <x:sheet xmlns:r="http://schemas.openxmlformats.org/officeDocument/2006/relationships" name="RFQ EVALUATION" sheetId="4" r:id="R05719cb07b0a4fc9"/>
    <x:sheet xmlns:r="http://schemas.openxmlformats.org/officeDocument/2006/relationships" name="PO MASTER" sheetId="5" r:id="Rf5707295539c4995"/>
    <x:sheet xmlns:r="http://schemas.openxmlformats.org/officeDocument/2006/relationships" name="RISK REGISTER" sheetId="6" r:id="R4f10a1fe32cb4e47"/>
    <x:sheet xmlns:r="http://schemas.openxmlformats.org/officeDocument/2006/relationships" name="SUPPLIER SCORECARD" sheetId="7" r:id="R6bb0d61c89c64dcc"/>
    <x:sheet xmlns:r="http://schemas.openxmlformats.org/officeDocument/2006/relationships" name="SETTINGS" sheetId="8" r:id="Rb4dbc87ad4684953"/>
    <x:sheet xmlns:r="http://schemas.openxmlformats.org/officeDocument/2006/relationships" name="APPROVAL POLICY" sheetId="9" r:id="Ref3b81d38ec04137"/>
    <x:sheet xmlns:r="http://schemas.openxmlformats.org/officeDocument/2006/relationships" name="APPROVAL REGISTER" sheetId="10" r:id="R67d7a8337b734691"/>
    <x:sheet xmlns:r="http://schemas.openxmlformats.org/officeDocument/2006/relationships" name="CHANGE LOG" sheetId="11" r:id="R619d1a35ca524dda"/>
    <x:sheet xmlns:r="http://schemas.openxmlformats.org/officeDocument/2006/relationships" name="DATA QUALITY" sheetId="12" r:id="R5745aaeb6e514a9b"/>
    <x:sheet xmlns:r="http://schemas.openxmlformats.org/officeDocument/2006/relationships" name="GOVERNANCE RULES" sheetId="13" r:id="R2d7a4e1b5c8e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$#,##0.00"/>
    <x:numFmt numFmtId="203" formatCode="yyyy-mm-dd hh:mm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B"/>
      </x:patternFill>
    </x:fill>
    <x:fill>
      <x:patternFill patternType="solid">
        <x:fgColor rgb="FF087F8C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9dade92fe4d5a" /><Relationship Type="http://schemas.openxmlformats.org/officeDocument/2006/relationships/theme" Target="/xl/theme/theme1.xml" Id="R703ff3fe56c341f0" /><Relationship Type="http://schemas.openxmlformats.org/officeDocument/2006/relationships/sharedStrings" Target="/xl/sharedStrings.xml" Id="Rebffd59c901041ac" /><Relationship Type="http://schemas.openxmlformats.org/officeDocument/2006/relationships/worksheet" Target="/xl/worksheets/sheet1.xml" Id="R3dfbe553279848e0" /><Relationship Type="http://schemas.openxmlformats.org/officeDocument/2006/relationships/worksheet" Target="/xl/worksheets/sheet2.xml" Id="Rc23f3e9457f94217" /><Relationship Type="http://schemas.openxmlformats.org/officeDocument/2006/relationships/worksheet" Target="/xl/worksheets/sheet3.xml" Id="Rde1fc913da0f4f1d" /><Relationship Type="http://schemas.openxmlformats.org/officeDocument/2006/relationships/worksheet" Target="/xl/worksheets/sheet4.xml" Id="R05719cb07b0a4fc9" /><Relationship Type="http://schemas.openxmlformats.org/officeDocument/2006/relationships/worksheet" Target="/xl/worksheets/sheet5.xml" Id="Rf5707295539c4995" /><Relationship Type="http://schemas.openxmlformats.org/officeDocument/2006/relationships/worksheet" Target="/xl/worksheets/sheet6.xml" Id="R4f10a1fe32cb4e47" /><Relationship Type="http://schemas.openxmlformats.org/officeDocument/2006/relationships/worksheet" Target="/xl/worksheets/sheet7.xml" Id="R6bb0d61c89c64dcc" /><Relationship Type="http://schemas.openxmlformats.org/officeDocument/2006/relationships/worksheet" Target="/xl/worksheets/sheet8.xml" Id="Rb4dbc87ad4684953" /><Relationship Type="http://schemas.openxmlformats.org/officeDocument/2006/relationships/worksheet" Target="/xl/worksheets/sheet9.xml" Id="Ref3b81d38ec04137" /><Relationship Type="http://schemas.openxmlformats.org/officeDocument/2006/relationships/worksheet" Target="/xl/worksheets/sheet10.xml" Id="R67d7a8337b734691" /><Relationship Type="http://schemas.openxmlformats.org/officeDocument/2006/relationships/worksheet" Target="/xl/worksheets/sheet11.xml" Id="R619d1a35ca524dda" /><Relationship Type="http://schemas.openxmlformats.org/officeDocument/2006/relationships/worksheet" Target="/xl/worksheets/sheet12.xml" Id="R5745aaeb6e514a9b" /><Relationship Type="http://schemas.openxmlformats.org/officeDocument/2006/relationships/worksheet" Target="/xl/worksheets/sheet13.xml" Id="R2d7a4e1b5c8e46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3" t="str">
        <x:v>EVOF | Integrated Procurement Data Model</x:v>
      </x:c>
      <x:c r="B1" s="3"/>
      <x:c r="C1" s="3"/>
      <x:c r="D1" s="3"/>
      <x:c r="E1" s="3"/>
      <x:c r="F1" s="3"/>
      <x:c r="G1" s="3"/>
      <x:c r="H1" s="3"/>
    </x:row>
    <x:row r="3" ht="28" customHeight="1">
      <x:c r="A3" s="8" t="str">
        <x:v>AREA</x:v>
      </x:c>
      <x:c r="B3" s="8" t="str">
        <x:v>PURPOSE</x:v>
      </x:c>
      <x:c r="C3" s="8" t="str">
        <x:v>SOURCE OF TRUTH</x:v>
      </x:c>
      <x:c r="D3" s="8" t="str">
        <x:v>HOW IT CONNECTS</x:v>
      </x:c>
      <x:c r="E3" s="8"/>
      <x:c r="F3" s="8"/>
      <x:c r="G3" s="8"/>
      <x:c r="H3" s="8"/>
    </x:row>
    <x:row r="4">
      <x:c r="A4" t="str">
        <x:v>SUPPLIERS</x:v>
      </x:c>
      <x:c r="B4" t="str">
        <x:v>Supplier master IDs</x:v>
      </x:c>
      <x:c r="C4" t="str">
        <x:v>SUPPLIERS</x:v>
      </x:c>
      <x:c r="D4" t="str">
        <x:v>Supplier ID referenced by RFQ, PO, scorecard</x:v>
      </x:c>
    </x:row>
    <x:row r="5">
      <x:c r="A5" t="str">
        <x:v>RFQ EVALUATION</x:v>
      </x:c>
      <x:c r="B5" t="str">
        <x:v>Supplier quote comparison</x:v>
      </x:c>
      <x:c r="C5" t="str">
        <x:v>RFQ EVALUATION</x:v>
      </x:c>
      <x:c r="D5" t="str">
        <x:v>Supplier ID; RFQ ID (PO link optional)</x:v>
      </x:c>
    </x:row>
    <x:row r="6">
      <x:c r="A6" t="str">
        <x:v>PO MASTER</x:v>
      </x:c>
      <x:c r="B6" t="str">
        <x:v>Single PO operational dataset</x:v>
      </x:c>
      <x:c r="C6" t="str">
        <x:v>PO MASTER</x:v>
      </x:c>
      <x:c r="D6" t="str">
        <x:v>PO ID + Supplier ID; status, exposure and delivery risk computed</x:v>
      </x:c>
    </x:row>
    <x:row r="7">
      <x:c r="A7" t="str">
        <x:v>RISK REGISTER</x:v>
      </x:c>
      <x:c r="B7" t="str">
        <x:v>Risks and mitigation ownership</x:v>
      </x:c>
      <x:c r="C7" t="str">
        <x:v>RISK REGISTER</x:v>
      </x:c>
      <x:c r="D7" t="str">
        <x:v>Related PO ID validated against PO MASTER</x:v>
      </x:c>
    </x:row>
    <x:row r="8">
      <x:c r="A8" t="str">
        <x:v>CONTROL TOWER</x:v>
      </x:c>
      <x:c r="B8" t="str">
        <x:v>Live metrics from source sheets</x:v>
      </x:c>
      <x:c r="C8" t="str">
        <x:v>FORMULAS</x:v>
      </x:c>
      <x:c r="D8" t="str">
        <x:v>No duplicated PO/risk snapshot</x:v>
      </x:c>
    </x:row>
    <x:row r="9">
      <x:c r="A9" t="str">
        <x:v>SUPPLIER SCORECARD</x:v>
      </x:c>
      <x:c r="B9" t="str">
        <x:v>Supplier level exposure and risk</x:v>
      </x:c>
      <x:c r="C9" t="str">
        <x:v>FORMULAS</x:v>
      </x:c>
      <x:c r="D9" t="str">
        <x:v>SUMIF/COUNTIF by supplier ID</x:v>
      </x:c>
    </x:row>
    <x:row r="10">
      <x:c r="A10" t="str">
        <x:v>SETTINGS</x:v>
      </x:c>
      <x:c r="B10" t="str">
        <x:v>As-of date and risk thresholds</x:v>
      </x:c>
      <x:c r="C10" t="str">
        <x:v>SETTINGS</x:v>
      </x:c>
      <x:c r="D10" t="str">
        <x:v>Single configurable reference date</x:v>
      </x:c>
    </x:row>
    <x:row r="11">
      <x:c r="A11" t="str">
        <x:v>DATA POLICY</x:v>
      </x:c>
      <x:c r="B11" t="str">
        <x:v>Fictional portfolio demonstration</x:v>
      </x:c>
      <x:c r="C11" t="str">
        <x:v>ALL SHEETS</x:v>
      </x:c>
      <x:c r="D11" t="str">
        <x:v>No live ERP link or deployed implementation</x:v>
      </x:c>
    </x:row>
    <x:row r="13">
      <x:c r="A13" t="str">
        <x:v>INTEGRATION RULES</x:v>
      </x:c>
    </x:row>
    <x:row r="14">
      <x:c r="A14" t="str">
        <x:v>1</x:v>
      </x:c>
      <x:c r="B14" t="str">
        <x:v>Edit supplier records only in SUPPLIERS; use stable supplier IDs.</x:v>
      </x:c>
    </x:row>
    <x:row r="15">
      <x:c r="A15" t="str">
        <x:v>2</x:v>
      </x:c>
      <x:c r="B15" t="str">
        <x:v>Edit RFQs and purchase orders in their own source sheets; do not duplicate data into dashboards.</x:v>
      </x:c>
    </x:row>
    <x:row r="16">
      <x:c r="A16" t="str">
        <x:v>3</x:v>
      </x:c>
      <x:c r="B16" t="str">
        <x:v>Assign RFQ ID to a PO only when it really originates from that RFQ. Existing historical demo POs are deliberately unlinked.</x:v>
      </x:c>
    </x:row>
    <x:row r="17">
      <x:c r="A17" t="str">
        <x:v>4</x:v>
      </x:c>
      <x:c r="B17" t="str">
        <x:v>Risks reference PO IDs; orphan IDs are flagged in the risk register.</x:v>
      </x:c>
    </x:row>
    <x:row r="18">
      <x:c r="A18" t="str">
        <x:v>5</x:v>
      </x:c>
      <x:c r="B18" t="str">
        <x:v>Open the workbook in Excel to recalculate after edits; all data is fictional.</x:v>
      </x:c>
    </x:row>
    <x:row r="20">
      <x:c r="A20" s="18" t="str">
        <x:v>GOVERNANCE EXTENSION</x:v>
      </x:c>
      <x:c r="B20" s="18" t="str">
        <x:v>PURPOSE</x:v>
      </x:c>
      <x:c r="C20" s="18" t="str">
        <x:v>SOURCE</x:v>
      </x:c>
      <x:c r="D20" s="18" t="str">
        <x:v>IMPORTANT LIMITATION</x:v>
      </x:c>
    </x:row>
    <x:row r="21">
      <x:c r="A21" t="str">
        <x:v>APPROVAL POLICY</x:v>
      </x:c>
      <x:c r="B21" s="22" t="str">
        <x:v>Thresholds and authority</x:v>
      </x:c>
      <x:c r="C21" s="22" t="str">
        <x:v>APPROVAL POLICY</x:v>
      </x:c>
      <x:c r="D21" s="22" t="str">
        <x:v>Illustrative thresholds only</x:v>
      </x:c>
    </x:row>
    <x:row r="22">
      <x:c r="A22" t="str">
        <x:v>APPROVAL REGISTER</x:v>
      </x:c>
      <x:c r="B22" s="22" t="str">
        <x:v>PO release eligibility</x:v>
      </x:c>
      <x:c r="C22" s="22" t="str">
        <x:v>APPROVAL REGISTER</x:v>
      </x:c>
      <x:c r="D22" s="22" t="str">
        <x:v>Advisory; not enforced against PO issuance</x:v>
      </x:c>
    </x:row>
    <x:row r="23">
      <x:c r="A23" t="str">
        <x:v>CHANGE LOG</x:v>
      </x:c>
      <x:c r="B23" s="22" t="str">
        <x:v>Manual traceability</x:v>
      </x:c>
      <x:c r="C23" s="22" t="str">
        <x:v>CHANGE LOG</x:v>
      </x:c>
      <x:c r="D23" s="22" t="str">
        <x:v>Not automatic or tamper-proof</x:v>
      </x:c>
    </x:row>
    <x:row r="24">
      <x:c r="A24" t="str">
        <x:v>DATA QUALITY</x:v>
      </x:c>
      <x:c r="B24" s="22" t="str">
        <x:v>Referential integrity checks</x:v>
      </x:c>
      <x:c r="C24" s="22" t="str">
        <x:v>DATA QUALITY</x:v>
      </x:c>
      <x:c r="D24" s="22" t="str">
        <x:v>Some checks require manual review</x:v>
      </x:c>
    </x:row>
    <x:row r="25">
      <x:c r="A25" t="str">
        <x:v>GOVERNANCE RULES</x:v>
      </x:c>
      <x:c r="B25" s="22" t="str">
        <x:v>Stewardship, controls and limitations</x:v>
      </x:c>
      <x:c r="C25" s="22" t="str">
        <x:v>GOVERNANCE RULES</x:v>
      </x:c>
      <x:c r="D25" s="22" t="str">
        <x:v>Demo controls; no role authentication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9" hidden="0" customWidth="1"/>
    <x:col min="3" max="3" width="4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2" customHeight="1">
      <x:c r="A1" s="3" t="str">
        <x:v>EVOF | Integrated Procurement Control Tower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5" customHeight="1">
      <x:c r="A3" s="8" t="str">
        <x:v>Metric</x:v>
      </x:c>
      <x:c r="B3" s="8" t="str">
        <x:v>Live value</x:v>
      </x:c>
      <x:c r="C3" s="8" t="str">
        <x:v>Interpretation</x:v>
      </x:c>
      <x:c r="D3" s="8" t="str"/>
      <x:c r="E3" s="8" t="str">
        <x:v>Metric</x:v>
      </x:c>
      <x:c r="F3" s="8" t="str">
        <x:v>Live value</x:v>
      </x:c>
      <x:c r="G3" s="8" t="str">
        <x:v>Interpretation</x:v>
      </x:c>
      <x:c r="H3" s="8" t="str"/>
      <x:c r="I3" s="8" t="str">
        <x:v>Metric</x:v>
      </x:c>
      <x:c r="J3" s="8" t="str">
        <x:v>Live value</x:v>
      </x:c>
      <x:c r="K3" s="8" t="str">
        <x:v>Interpretation</x:v>
      </x:c>
      <x:c r="L3" s="8" t="str"/>
    </x:row>
    <x:row r="4">
      <x:c r="A4" t="str">
        <x:v>Total purchase orders</x:v>
      </x:c>
      <x:c r="B4" t="n">
        <x:f>COUNTA('PO MASTER'!$A$4:$A$103)</x:f>
        <x:v>10</x:v>
      </x:c>
      <x:c r="C4" t="str">
        <x:v>Distinct PO records</x:v>
      </x:c>
    </x:row>
    <x:row r="5">
      <x:c r="A5" t="str">
        <x:v>Open purchase orders</x:v>
      </x:c>
      <x:c r="B5" t="n">
        <x:f>COUNTIF('PO MASTER'!$M$4:$M$103,"&gt;0")</x:f>
        <x:v>8</x:v>
      </x:c>
      <x:c r="C5" t="str">
        <x:v>Outstanding quantity</x:v>
      </x:c>
    </x:row>
    <x:row r="6">
      <x:c r="A6" t="str">
        <x:v>Open exposure USD</x:v>
      </x:c>
      <x:c r="B6" t="n">
        <x:f>SUM('PO MASTER'!$N$4:$N$103)</x:f>
        <x:v>55855</x:v>
      </x:c>
      <x:c r="C6" t="str">
        <x:v>Open quantity × unit price</x:v>
      </x:c>
    </x:row>
    <x:row r="7">
      <x:c r="A7" t="str">
        <x:v>High delivery risk</x:v>
      </x:c>
      <x:c r="B7" t="n">
        <x:f>COUNTIF('PO MASTER'!$R$4:$R$103,"High")</x:f>
        <x:v>1</x:v>
      </x:c>
      <x:c r="C7" t="str">
        <x:v>Open POs past revised ETA</x:v>
      </x:c>
    </x:row>
    <x:row r="8">
      <x:c r="A8" t="str">
        <x:v>Watch delivery risk</x:v>
      </x:c>
      <x:c r="B8" t="n">
        <x:f>COUNTIF('PO MASTER'!$R$4:$R$103,"Watch")</x:f>
        <x:v>2</x:v>
      </x:c>
      <x:c r="C8" t="str">
        <x:v>ETA within watch window</x:v>
      </x:c>
    </x:row>
    <x:row r="9">
      <x:c r="A9" t="str">
        <x:v>High / critical risks</x:v>
      </x:c>
      <x:c r="B9" t="n">
        <x:f>COUNTIF('RISK REGISTER'!$H$4:$H$103,"High")+COUNTIF('RISK REGISTER'!$H$4:$H$103,"Critical")</x:f>
        <x:v>4</x:v>
      </x:c>
      <x:c r="C9" t="str">
        <x:v>Risk register priority</x:v>
      </x:c>
    </x:row>
    <x:row r="10">
      <x:c r="A10" t="str">
        <x:v>Unlinked risks</x:v>
      </x:c>
      <x:c r="B10" t="n">
        <x:f>COUNTIF('RISK REGISTER'!$Q$4:$Q$103,"INVALID PO")</x:f>
        <x:v>0</x:v>
      </x:c>
      <x:c r="C10" t="str">
        <x:v>Risk references not found</x:v>
      </x:c>
    </x:row>
    <x:row r="11">
      <x:c r="A11" t="str">
        <x:v>Invalid PO references</x:v>
      </x:c>
      <x:c r="B11" t="n">
        <x:f>COUNTIF('PO MASTER'!$X$4:$X$103,"INVALID*")</x:f>
        <x:v>0</x:v>
      </x:c>
      <x:c r="C11" t="str">
        <x:v>Supplier/RFQ data quality</x:v>
      </x:c>
    </x:row>
    <x:row r="14">
      <x:c r="A14" t="str">
        <x:v>LIVE DATA FLOW</x:v>
      </x:c>
    </x:row>
    <x:row r="15">
      <x:c r="A15" t="str">
        <x:v>SUPPLIERS → RFQ</x:v>
      </x:c>
      <x:c r="B15" t="str">
        <x:v>Supplier ID</x:v>
      </x:c>
      <x:c r="C15" t="str">
        <x:v>Supplier quotes</x:v>
      </x:c>
    </x:row>
    <x:row r="16">
      <x:c r="A16" t="str">
        <x:v>SUPPLIERS → PO MASTER</x:v>
      </x:c>
      <x:c r="B16" t="str">
        <x:v>Supplier ID</x:v>
      </x:c>
      <x:c r="C16" t="str">
        <x:v>PO source of truth</x:v>
      </x:c>
    </x:row>
    <x:row r="17">
      <x:c r="A17" t="str">
        <x:v>PO MASTER → RISK REGISTER</x:v>
      </x:c>
      <x:c r="B17" t="str">
        <x:v>PO ID</x:v>
      </x:c>
      <x:c r="C17" t="str">
        <x:v>Validated risk links</x:v>
      </x:c>
    </x:row>
    <x:row r="18">
      <x:c r="A18" t="str">
        <x:v>PO MASTER + RISK REGISTER → CONTROL TOWER</x:v>
      </x:c>
      <x:c r="B18" t="str">
        <x:v>Formula references</x:v>
      </x:c>
      <x:c r="C18" t="str">
        <x:v>No snapshot duplication</x:v>
      </x:c>
    </x:row>
    <x:row r="19">
      <x:c r="A19" t="str">
        <x:v>PO MASTER + RISK REGISTER → SCORECARD</x:v>
      </x:c>
      <x:c r="B19" t="str">
        <x:v>Supplier ID / PO ID</x:v>
      </x:c>
      <x:c r="C19" t="str">
        <x:v>Exposure + risk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3" t="str">
        <x:v>EVOF | Supplier Master</x:v>
      </x:c>
      <x:c r="B1" s="3"/>
      <x:c r="C1" s="3"/>
      <x:c r="D1" s="3"/>
      <x:c r="E1" s="3"/>
      <x:c r="F1" s="3"/>
    </x:row>
    <x:row r="3" ht="35" customHeight="1">
      <x:c r="A3" s="8" t="str">
        <x:v>Supplier ID</x:v>
      </x:c>
      <x:c r="B3" s="8" t="str">
        <x:v>Supplier Name</x:v>
      </x:c>
      <x:c r="C3" s="8" t="str">
        <x:v>Category</x:v>
      </x:c>
      <x:c r="D3" s="8" t="str">
        <x:v>Country</x:v>
      </x:c>
      <x:c r="E3" s="8" t="str">
        <x:v>Status</x:v>
      </x:c>
      <x:c r="F3" s="8" t="str">
        <x:v>Notes</x:v>
      </x:c>
    </x:row>
    <x:row r="4">
      <x:c r="A4" t="str">
        <x:v>SUP-A</x:v>
      </x:c>
      <x:c r="B4" t="str">
        <x:v>Supplier A</x:v>
      </x:c>
      <x:c r="C4" t="str">
        <x:v>Industrial components</x:v>
      </x:c>
      <x:c r="D4" t="str">
        <x:v>Mexico</x:v>
      </x:c>
      <x:c r="E4" t="str">
        <x:v>Approved</x:v>
      </x:c>
      <x:c r="F4" t="str">
        <x:v>Fictional</x:v>
      </x:c>
    </x:row>
    <x:row r="5">
      <x:c r="A5" t="str">
        <x:v>SUP-B</x:v>
      </x:c>
      <x:c r="B5" t="str">
        <x:v>Supplier B</x:v>
      </x:c>
      <x:c r="C5" t="str">
        <x:v>Industrial components</x:v>
      </x:c>
      <x:c r="D5" t="str">
        <x:v>United States</x:v>
      </x:c>
      <x:c r="E5" t="str">
        <x:v>Approved</x:v>
      </x:c>
      <x:c r="F5" t="str">
        <x:v>Fictional</x:v>
      </x:c>
    </x:row>
    <x:row r="6">
      <x:c r="A6" t="str">
        <x:v>SUP-C</x:v>
      </x:c>
      <x:c r="B6" t="str">
        <x:v>Supplier C</x:v>
      </x:c>
      <x:c r="C6" t="str">
        <x:v>Industrial components</x:v>
      </x:c>
      <x:c r="D6" t="str">
        <x:v>Mexico</x:v>
      </x:c>
      <x:c r="E6" t="str">
        <x:v>Approved</x:v>
      </x:c>
      <x:c r="F6" t="str">
        <x:v>Fictional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32" customHeight="1">
      <x:c r="A1" s="3" t="str">
        <x:v>EVOF | Supplier RFQ Evaluation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3" ht="35" customHeight="1">
      <x:c r="A3" s="8" t="str">
        <x:v>RFQ ID</x:v>
      </x:c>
      <x:c r="B3" s="8" t="str">
        <x:v>Supplier ID</x:v>
      </x:c>
      <x:c r="C3" s="8" t="str">
        <x:v>Supplier</x:v>
      </x:c>
      <x:c r="D3" s="8" t="str">
        <x:v>Item</x:v>
      </x:c>
      <x:c r="E3" s="8" t="str">
        <x:v>Unit price USD</x:v>
      </x:c>
      <x:c r="F3" s="8" t="str">
        <x:v>Qty</x:v>
      </x:c>
      <x:c r="G3" s="8" t="str">
        <x:v>Freight USD</x:v>
      </x:c>
      <x:c r="H3" s="8" t="str">
        <x:v>Duties USD</x:v>
      </x:c>
      <x:c r="I3" s="8" t="str">
        <x:v>Landed cost USD</x:v>
      </x:c>
      <x:c r="J3" s="8" t="str">
        <x:v>Lead days</x:v>
      </x:c>
      <x:c r="K3" s="8" t="str">
        <x:v>Quality 1-5</x:v>
      </x:c>
      <x:c r="L3" s="8" t="str">
        <x:v>Terms net days</x:v>
      </x:c>
      <x:c r="M3" s="8" t="str">
        <x:v>Risk 1-5</x:v>
      </x:c>
      <x:c r="N3" s="8" t="str">
        <x:v>Cost score</x:v>
      </x:c>
      <x:c r="O3" s="8" t="str">
        <x:v>Lead score</x:v>
      </x:c>
      <x:c r="P3" s="8" t="str">
        <x:v>Quality score</x:v>
      </x:c>
      <x:c r="Q3" s="8" t="str">
        <x:v>Terms score</x:v>
      </x:c>
      <x:c r="R3" s="8" t="str">
        <x:v>Risk score</x:v>
      </x:c>
      <x:c r="S3" s="8" t="str">
        <x:v>Weighted score</x:v>
      </x:c>
      <x:c r="T3" s="8" t="str">
        <x:v>Eligibility</x:v>
      </x:c>
    </x:row>
    <x:row r="4">
      <x:c r="A4" t="str">
        <x:v>RFQ-001</x:v>
      </x:c>
      <x:c r="B4" t="str">
        <x:v>SUP-A</x:v>
      </x:c>
      <x:c r="C4" t="str">
        <x:v>Supplier A</x:v>
      </x:c>
      <x:c r="D4" t="str">
        <x:v>Industrial pneumatic actuators</x:v>
      </x:c>
      <x:c r="E4" t="n">
        <x:v>112</x:v>
      </x:c>
      <x:c r="F4" t="n">
        <x:v>100</x:v>
      </x:c>
      <x:c r="G4" t="n">
        <x:v>1100</x:v>
      </x:c>
      <x:c r="H4" t="n">
        <x:v>500</x:v>
      </x:c>
      <x:c r="I4" t="n">
        <x:f>E4*F4+G4+H4</x:f>
        <x:v>12800</x:v>
      </x:c>
      <x:c r="J4" t="n">
        <x:v>25</x:v>
      </x:c>
      <x:c r="K4" t="n">
        <x:v>4.5</x:v>
      </x:c>
      <x:c r="L4" t="n">
        <x:v>30</x:v>
      </x:c>
      <x:c r="M4" t="n">
        <x:v>2</x:v>
      </x:c>
      <x:c r="N4" t="n">
        <x:f>IFERROR(MIN($I$4:$I$6)/I4*100,0)</x:f>
        <x:v>100</x:v>
      </x:c>
      <x:c r="O4" t="n">
        <x:f>IFERROR(MIN($J$4:$J$6)/J4*100,0)</x:f>
        <x:v>76</x:v>
      </x:c>
      <x:c r="P4" t="n">
        <x:f>K4/5*100</x:f>
        <x:v>90</x:v>
      </x:c>
      <x:c r="Q4" t="n">
        <x:f>L4/45*100</x:f>
        <x:v>66.66666666666666</x:v>
      </x:c>
      <x:c r="R4" t="n">
        <x:f>(6-M4)/5*100</x:f>
        <x:v>80</x:v>
      </x:c>
      <x:c r="S4" t="n">
        <x:f>N4*0.35+O4*0.25+P4*0.2+Q4*0.1+R4*0.1</x:f>
        <x:v>86.66666666666667</x:v>
      </x:c>
      <x:c r="T4" t="str">
        <x:f>IF(AND(I4&lt;=13000,J4&lt;=40,K4&gt;=4),"YES","NO")</x:f>
        <x:v>YES</x:v>
      </x:c>
    </x:row>
    <x:row r="5">
      <x:c r="A5" t="str">
        <x:v>RFQ-001</x:v>
      </x:c>
      <x:c r="B5" t="str">
        <x:v>SUP-B</x:v>
      </x:c>
      <x:c r="C5" t="str">
        <x:v>Supplier B</x:v>
      </x:c>
      <x:c r="D5" t="str">
        <x:v>Industrial pneumatic actuators</x:v>
      </x:c>
      <x:c r="E5" t="n">
        <x:v>105</x:v>
      </x:c>
      <x:c r="F5" t="n">
        <x:v>100</x:v>
      </x:c>
      <x:c r="G5" t="n">
        <x:v>1750</x:v>
      </x:c>
      <x:c r="H5" t="n">
        <x:v>550</x:v>
      </x:c>
      <x:c r="I5" t="n">
        <x:f>E5*F5+G5+H5</x:f>
        <x:v>12800</x:v>
      </x:c>
      <x:c r="J5" t="n">
        <x:v>38</x:v>
      </x:c>
      <x:c r="K5" t="n">
        <x:v>4.8</x:v>
      </x:c>
      <x:c r="L5" t="n">
        <x:v>45</x:v>
      </x:c>
      <x:c r="M5" t="n">
        <x:v>3</x:v>
      </x:c>
      <x:c r="N5" t="n">
        <x:f>IFERROR(MIN($I$4:$I$6)/I5*100,0)</x:f>
        <x:v>100</x:v>
      </x:c>
      <x:c r="O5" t="n">
        <x:f>IFERROR(MIN($J$4:$J$6)/J5*100,0)</x:f>
        <x:v>50</x:v>
      </x:c>
      <x:c r="P5" t="n">
        <x:f>K5/5*100</x:f>
        <x:v>96</x:v>
      </x:c>
      <x:c r="Q5" t="n">
        <x:f>L5/45*100</x:f>
        <x:v>100</x:v>
      </x:c>
      <x:c r="R5" t="n">
        <x:f>(6-M5)/5*100</x:f>
        <x:v>60</x:v>
      </x:c>
      <x:c r="S5" t="n">
        <x:f>N5*0.35+O5*0.25+P5*0.2+Q5*0.1+R5*0.1</x:f>
        <x:v>82.7</x:v>
      </x:c>
      <x:c r="T5" t="str">
        <x:f>IF(AND(I5&lt;=13000,J5&lt;=40,K5&gt;=4),"YES","NO")</x:f>
        <x:v>YES</x:v>
      </x:c>
    </x:row>
    <x:row r="6">
      <x:c r="A6" t="str">
        <x:v>RFQ-001</x:v>
      </x:c>
      <x:c r="B6" t="str">
        <x:v>SUP-C</x:v>
      </x:c>
      <x:c r="C6" t="str">
        <x:v>Supplier C</x:v>
      </x:c>
      <x:c r="D6" t="str">
        <x:v>Industrial pneumatic actuators</x:v>
      </x:c>
      <x:c r="E6" t="n">
        <x:v>119</x:v>
      </x:c>
      <x:c r="F6" t="n">
        <x:v>100</x:v>
      </x:c>
      <x:c r="G6" t="n">
        <x:v>700</x:v>
      </x:c>
      <x:c r="H6" t="n">
        <x:v>450</x:v>
      </x:c>
      <x:c r="I6" t="n">
        <x:f>E6*F6+G6+H6</x:f>
        <x:v>13050</x:v>
      </x:c>
      <x:c r="J6" t="n">
        <x:v>19</x:v>
      </x:c>
      <x:c r="K6" t="n">
        <x:v>3.8</x:v>
      </x:c>
      <x:c r="L6" t="n">
        <x:v>15</x:v>
      </x:c>
      <x:c r="M6" t="n">
        <x:v>1</x:v>
      </x:c>
      <x:c r="N6" t="n">
        <x:f>IFERROR(MIN($I$4:$I$6)/I6*100,0)</x:f>
        <x:v>98.08429118773945</x:v>
      </x:c>
      <x:c r="O6" t="n">
        <x:f>IFERROR(MIN($J$4:$J$6)/J6*100,0)</x:f>
        <x:v>100</x:v>
      </x:c>
      <x:c r="P6" t="n">
        <x:f>K6/5*100</x:f>
        <x:v>76</x:v>
      </x:c>
      <x:c r="Q6" t="n">
        <x:f>L6/45*100</x:f>
        <x:v>33.33333333333333</x:v>
      </x:c>
      <x:c r="R6" t="n">
        <x:f>(6-M6)/5*100</x:f>
        <x:v>100</x:v>
      </x:c>
      <x:c r="S6" t="n">
        <x:f>N6*0.35+O6*0.25+P6*0.2+Q6*0.1+R6*0.1</x:f>
        <x:v>87.86283524904213</x:v>
      </x:c>
      <x:c r="T6" t="str">
        <x:f>IF(AND(I6&lt;=13000,J6&lt;=40,K6&gt;=4),"YES","NO")</x:f>
        <x:v>NO</x:v>
      </x:c>
    </x:row>
    <x:row r="9">
      <x:c r="A9" t="str">
        <x:v>IMPORTANT: RFQ-001 is a separate demonstration for pneumatic actuators. It is not linked to the ten historical example POs.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1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 ht="32" customHeight="1">
      <x:c r="A1" s="3" t="str">
        <x:v>EVOF | Purchase Order Master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3" ht="35" customHeight="1">
      <x:c r="A3" s="8" t="str">
        <x:v>PO ID</x:v>
      </x:c>
      <x:c r="B3" s="8" t="str">
        <x:v>Supplier ID</x:v>
      </x:c>
      <x:c r="C3" s="8" t="str">
        <x:v>Supplier</x:v>
      </x:c>
      <x:c r="D3" s="8" t="str">
        <x:v>Item</x:v>
      </x:c>
      <x:c r="E3" s="8" t="str">
        <x:v>Project / Cost Center</x:v>
      </x:c>
      <x:c r="F3" s="8" t="str">
        <x:v>PO Date</x:v>
      </x:c>
      <x:c r="G3" s="8" t="str">
        <x:v>Original Due</x:v>
      </x:c>
      <x:c r="H3" s="8" t="str">
        <x:v>Revised ETA</x:v>
      </x:c>
      <x:c r="I3" s="8" t="str">
        <x:v>Ordered Qty</x:v>
      </x:c>
      <x:c r="J3" s="8" t="str">
        <x:v>Received Qty</x:v>
      </x:c>
      <x:c r="K3" s="8" t="str">
        <x:v>Unit Price USD</x:v>
      </x:c>
      <x:c r="L3" s="8" t="str">
        <x:v>PO Value USD</x:v>
      </x:c>
      <x:c r="M3" s="8" t="str">
        <x:v>Open Qty</x:v>
      </x:c>
      <x:c r="N3" s="8" t="str">
        <x:v>Open Value USD</x:v>
      </x:c>
      <x:c r="O3" s="8" t="str">
        <x:v>Days to ETA</x:v>
      </x:c>
      <x:c r="P3" s="8" t="str">
        <x:v>Days Late</x:v>
      </x:c>
      <x:c r="Q3" s="8" t="str">
        <x:v>PO Status</x:v>
      </x:c>
      <x:c r="R3" s="8" t="str">
        <x:v>Delivery Risk</x:v>
      </x:c>
      <x:c r="S3" s="8" t="str">
        <x:v>Owner</x:v>
      </x:c>
      <x:c r="T3" s="8" t="str">
        <x:v>Last Follow-up</x:v>
      </x:c>
      <x:c r="U3" s="8" t="str">
        <x:v>Next Action</x:v>
      </x:c>
      <x:c r="V3" s="8" t="str">
        <x:v>Notes</x:v>
      </x:c>
      <x:c r="W3" s="8" t="str">
        <x:v>Source RFQ ID</x:v>
      </x:c>
      <x:c r="X3" s="8" t="str">
        <x:v>Data Quality</x:v>
      </x:c>
    </x:row>
    <x:row r="4">
      <x:c r="A4" t="str">
        <x:v>PO-26001</x:v>
      </x:c>
      <x:c r="B4" t="str">
        <x:v>SUP-A</x:v>
      </x:c>
      <x:c r="C4" t="str">
        <x:v>Supplier A</x:v>
      </x:c>
      <x:c r="D4" t="str">
        <x:v>Servo motor assembly</x:v>
      </x:c>
      <x:c r="E4" t="str">
        <x:v>LINE-01</x:v>
      </x:c>
      <x:c r="F4" s="12" t="n">
        <x:v>46282</x:v>
      </x:c>
      <x:c r="G4" s="12" t="n">
        <x:v>46307</x:v>
      </x:c>
      <x:c r="H4" s="12" t="n">
        <x:v>46308</x:v>
      </x:c>
      <x:c r="I4" t="n">
        <x:v>10</x:v>
      </x:c>
      <x:c r="J4" t="n">
        <x:v>4</x:v>
      </x:c>
      <x:c r="K4" t="n">
        <x:v>1280</x:v>
      </x:c>
      <x:c r="L4" t="n">
        <x:f>I4*K4</x:f>
        <x:v>12800</x:v>
      </x:c>
      <x:c r="M4" t="n">
        <x:f>MAX(0,I4-J4)</x:f>
        <x:v>6</x:v>
      </x:c>
      <x:c r="N4" t="n">
        <x:f>M4*K4</x:f>
        <x:v>7680</x:v>
      </x:c>
      <x:c r="O4" t="n">
        <x:f>IF(M4=0,0,H4-SETTINGS!$B$4)</x:f>
        <x:v>-2</x:v>
      </x:c>
      <x:c r="P4" t="n">
        <x:f>IF(M4=0,0,MAX(0,SETTINGS!$B$4-F4))</x:f>
        <x:v>28</x:v>
      </x:c>
      <x:c r="Q4" t="str">
        <x:f>IF(M4=0,"Received",IF(J4&gt;0,"Partially Received","Open"))</x:f>
        <x:v>Partially Received</x:v>
      </x:c>
      <x:c r="R4" t="str">
        <x:f>IF(M4=0,"Closed",IF(H4&lt;SETTINGS!$B$4,"High",IF(H4&lt;=SETTINGS!$B$4+SETTINGS!$B$5,"Watch","Normal")))</x:f>
        <x:v>High</x:v>
      </x:c>
      <x:c r="S4" t="str">
        <x:v>A. Martinez</x:v>
      </x:c>
      <x:c r="T4" s="12" t="n">
        <x:v>46308</x:v>
      </x:c>
      <x:c r="U4" t="str">
        <x:v>Confirm remaining dispatch</x:v>
      </x:c>
      <x:c r="V4" t="str">
        <x:v>6 units pending</x:v>
      </x:c>
      <x:c r="W4" t="str"/>
      <x:c r="X4" t="str">
        <x:f>IF(COUNTIF(SUPPLIERS!$A$4:$A$100,B4)=0,"INVALID SUPPLIER",IF(AND(W4&lt;&gt;"",COUNTIF('RFQ EVALUATION'!$A$4:$A$100,W4)=0),"INVALID RFQ","OK"))</x:f>
        <x:v>OK</x:v>
      </x:c>
    </x:row>
    <x:row r="5">
      <x:c r="A5" t="str">
        <x:v>PO-26002</x:v>
      </x:c>
      <x:c r="B5" t="str">
        <x:v>SUP-B</x:v>
      </x:c>
      <x:c r="C5" t="str">
        <x:v>Supplier B</x:v>
      </x:c>
      <x:c r="D5" t="str">
        <x:v>Pneumatic valves</x:v>
      </x:c>
      <x:c r="E5" t="str">
        <x:v>LINE-02</x:v>
      </x:c>
      <x:c r="F5" s="12" t="n">
        <x:v>46292</x:v>
      </x:c>
      <x:c r="G5" s="12" t="n">
        <x:v>46314</x:v>
      </x:c>
      <x:c r="H5" s="12" t="n">
        <x:v>46320</x:v>
      </x:c>
      <x:c r="I5" t="n">
        <x:v>60</x:v>
      </x:c>
      <x:c r="J5" t="n">
        <x:v>0</x:v>
      </x:c>
      <x:c r="K5" t="n">
        <x:v>145</x:v>
      </x:c>
      <x:c r="L5" t="n">
        <x:f>I5*K5</x:f>
        <x:v>8700</x:v>
      </x:c>
      <x:c r="M5" t="n">
        <x:f>MAX(0,I5-J5)</x:f>
        <x:v>60</x:v>
      </x:c>
      <x:c r="N5" t="n">
        <x:f>M5*K5</x:f>
        <x:v>8700</x:v>
      </x:c>
      <x:c r="O5" t="n">
        <x:f>IF(M5=0,0,H5-SETTINGS!$B$4)</x:f>
        <x:v>10</x:v>
      </x:c>
      <x:c r="P5" t="n">
        <x:f>IF(M5=0,0,MAX(0,SETTINGS!$B$4-F5))</x:f>
        <x:v>18</x:v>
      </x:c>
      <x:c r="Q5" t="str">
        <x:f>IF(M5=0,"Received",IF(J5&gt;0,"Partially Received","Open"))</x:f>
        <x:v>Open</x:v>
      </x:c>
      <x:c r="R5" t="str">
        <x:f>IF(M5=0,"Closed",IF(H5&lt;SETTINGS!$B$4,"High",IF(H5&lt;=SETTINGS!$B$4+SETTINGS!$B$5,"Watch","Normal")))</x:f>
        <x:v>Normal</x:v>
      </x:c>
      <x:c r="S5" t="str">
        <x:v>A. Martinez</x:v>
      </x:c>
      <x:c r="T5" s="12" t="n">
        <x:v>46309</x:v>
      </x:c>
      <x:c r="U5" t="str">
        <x:v>Request recovery plan</x:v>
      </x:c>
      <x:c r="V5" t="str">
        <x:v>ETA slipped 6 days</x:v>
      </x:c>
      <x:c r="W5" t="str"/>
      <x:c r="X5" t="str">
        <x:f>IF(COUNTIF(SUPPLIERS!$A$4:$A$100,B5)=0,"INVALID SUPPLIER",IF(AND(W5&lt;&gt;"",COUNTIF('RFQ EVALUATION'!$A$4:$A$100,W5)=0),"INVALID RFQ","OK"))</x:f>
        <x:v>OK</x:v>
      </x:c>
    </x:row>
    <x:row r="6">
      <x:c r="A6" t="str">
        <x:v>PO-26003</x:v>
      </x:c>
      <x:c r="B6" t="str">
        <x:v>SUP-C</x:v>
      </x:c>
      <x:c r="C6" t="str">
        <x:v>Supplier C</x:v>
      </x:c>
      <x:c r="D6" t="str">
        <x:v>PLC controller</x:v>
      </x:c>
      <x:c r="E6" t="str">
        <x:v>PROJECT-A</x:v>
      </x:c>
      <x:c r="F6" s="12" t="n">
        <x:v>46298</x:v>
      </x:c>
      <x:c r="G6" s="12" t="n">
        <x:v>46318</x:v>
      </x:c>
      <x:c r="H6" s="12" t="n">
        <x:v>46318</x:v>
      </x:c>
      <x:c r="I6" t="n">
        <x:v>4</x:v>
      </x:c>
      <x:c r="J6" t="n">
        <x:v>0</x:v>
      </x:c>
      <x:c r="K6" t="n">
        <x:v>2250</x:v>
      </x:c>
      <x:c r="L6" t="n">
        <x:f>I6*K6</x:f>
        <x:v>9000</x:v>
      </x:c>
      <x:c r="M6" t="n">
        <x:f>MAX(0,I6-J6)</x:f>
        <x:v>4</x:v>
      </x:c>
      <x:c r="N6" t="n">
        <x:f>M6*K6</x:f>
        <x:v>9000</x:v>
      </x:c>
      <x:c r="O6" t="n">
        <x:f>IF(M6=0,0,H6-SETTINGS!$B$4)</x:f>
        <x:v>8</x:v>
      </x:c>
      <x:c r="P6" t="n">
        <x:f>IF(M6=0,0,MAX(0,SETTINGS!$B$4-F6))</x:f>
        <x:v>12</x:v>
      </x:c>
      <x:c r="Q6" t="str">
        <x:f>IF(M6=0,"Received",IF(J6&gt;0,"Partially Received","Open"))</x:f>
        <x:v>Open</x:v>
      </x:c>
      <x:c r="R6" t="str">
        <x:f>IF(M6=0,"Closed",IF(H6&lt;SETTINGS!$B$4,"High",IF(H6&lt;=SETTINGS!$B$4+SETTINGS!$B$5,"Watch","Normal")))</x:f>
        <x:v>Normal</x:v>
      </x:c>
      <x:c r="S6" t="str">
        <x:v>J. Lopez</x:v>
      </x:c>
      <x:c r="T6" s="12" t="n">
        <x:v>46308</x:v>
      </x:c>
      <x:c r="U6" t="str">
        <x:v>Verify production slot</x:v>
      </x:c>
      <x:c r="V6" t="str">
        <x:v>Critical item</x:v>
      </x:c>
      <x:c r="W6" t="str"/>
      <x:c r="X6" t="str">
        <x:f>IF(COUNTIF(SUPPLIERS!$A$4:$A$100,B6)=0,"INVALID SUPPLIER",IF(AND(W6&lt;&gt;"",COUNTIF('RFQ EVALUATION'!$A$4:$A$100,W6)=0),"INVALID RFQ","OK"))</x:f>
        <x:v>OK</x:v>
      </x:c>
    </x:row>
    <x:row r="7">
      <x:c r="A7" t="str">
        <x:v>PO-26004</x:v>
      </x:c>
      <x:c r="B7" t="str">
        <x:v>SUP-A</x:v>
      </x:c>
      <x:c r="C7" t="str">
        <x:v>Supplier A</x:v>
      </x:c>
      <x:c r="D7" t="str">
        <x:v>Industrial sensors</x:v>
      </x:c>
      <x:c r="E7" t="str">
        <x:v>LINE-01</x:v>
      </x:c>
      <x:c r="F7" s="12" t="n">
        <x:v>46290</x:v>
      </x:c>
      <x:c r="G7" s="12" t="n">
        <x:v>46309</x:v>
      </x:c>
      <x:c r="H7" s="12" t="n">
        <x:v>46309</x:v>
      </x:c>
      <x:c r="I7" t="n">
        <x:v>40</x:v>
      </x:c>
      <x:c r="J7" t="n">
        <x:v>40</x:v>
      </x:c>
      <x:c r="K7" t="n">
        <x:v>88</x:v>
      </x:c>
      <x:c r="L7" t="n">
        <x:f>I7*K7</x:f>
        <x:v>3520</x:v>
      </x:c>
      <x:c r="M7" t="n">
        <x:f>MAX(0,I7-J7)</x:f>
        <x:v>0</x:v>
      </x:c>
      <x:c r="N7" t="n">
        <x:f>M7*K7</x:f>
        <x:v>0</x:v>
      </x:c>
      <x:c r="O7" t="n">
        <x:f>IF(M7=0,0,H7-SETTINGS!$B$4)</x:f>
        <x:v>0</x:v>
      </x:c>
      <x:c r="P7" t="n">
        <x:f>IF(M7=0,0,MAX(0,SETTINGS!$B$4-F7))</x:f>
        <x:v>0</x:v>
      </x:c>
      <x:c r="Q7" t="str">
        <x:f>IF(M7=0,"Received",IF(J7&gt;0,"Partially Received","Open"))</x:f>
        <x:v>Received</x:v>
      </x:c>
      <x:c r="R7" t="str">
        <x:f>IF(M7=0,"Closed",IF(H7&lt;SETTINGS!$B$4,"High",IF(H7&lt;=SETTINGS!$B$4+SETTINGS!$B$5,"Watch","Normal")))</x:f>
        <x:v>Closed</x:v>
      </x:c>
      <x:c r="S7" t="str">
        <x:v>J. Lopez</x:v>
      </x:c>
      <x:c r="T7" s="12" t="n">
        <x:v>46309</x:v>
      </x:c>
      <x:c r="U7" t="str">
        <x:v>Close PO documentation</x:v>
      </x:c>
      <x:c r="V7" t="str">
        <x:v>Delivered complete</x:v>
      </x:c>
      <x:c r="W7" t="str"/>
      <x:c r="X7" t="str">
        <x:f>IF(COUNTIF(SUPPLIERS!$A$4:$A$100,B7)=0,"INVALID SUPPLIER",IF(AND(W7&lt;&gt;"",COUNTIF('RFQ EVALUATION'!$A$4:$A$100,W7)=0),"INVALID RFQ","OK"))</x:f>
        <x:v>OK</x:v>
      </x:c>
    </x:row>
    <x:row r="8">
      <x:c r="A8" t="str">
        <x:v>PO-26005</x:v>
      </x:c>
      <x:c r="B8" t="str">
        <x:v>SUP-B</x:v>
      </x:c>
      <x:c r="C8" t="str">
        <x:v>Supplier B</x:v>
      </x:c>
      <x:c r="D8" t="str">
        <x:v>Drive belts</x:v>
      </x:c>
      <x:c r="E8" t="str">
        <x:v>MRO</x:v>
      </x:c>
      <x:c r="F8" s="12" t="n">
        <x:v>46302</x:v>
      </x:c>
      <x:c r="G8" s="12" t="n">
        <x:v>46313</x:v>
      </x:c>
      <x:c r="H8" s="12" t="n">
        <x:v>46313</x:v>
      </x:c>
      <x:c r="I8" t="n">
        <x:v>25</x:v>
      </x:c>
      <x:c r="J8" t="n">
        <x:v>0</x:v>
      </x:c>
      <x:c r="K8" t="n">
        <x:v>95</x:v>
      </x:c>
      <x:c r="L8" t="n">
        <x:f>I8*K8</x:f>
        <x:v>2375</x:v>
      </x:c>
      <x:c r="M8" t="n">
        <x:f>MAX(0,I8-J8)</x:f>
        <x:v>25</x:v>
      </x:c>
      <x:c r="N8" t="n">
        <x:f>M8*K8</x:f>
        <x:v>2375</x:v>
      </x:c>
      <x:c r="O8" t="n">
        <x:f>IF(M8=0,0,H8-SETTINGS!$B$4)</x:f>
        <x:v>3</x:v>
      </x:c>
      <x:c r="P8" t="n">
        <x:f>IF(M8=0,0,MAX(0,SETTINGS!$B$4-F8))</x:f>
        <x:v>8</x:v>
      </x:c>
      <x:c r="Q8" t="str">
        <x:f>IF(M8=0,"Received",IF(J8&gt;0,"Partially Received","Open"))</x:f>
        <x:v>Open</x:v>
      </x:c>
      <x:c r="R8" t="str">
        <x:f>IF(M8=0,"Closed",IF(H8&lt;SETTINGS!$B$4,"High",IF(H8&lt;=SETTINGS!$B$4+SETTINGS!$B$5,"Watch","Normal")))</x:f>
        <x:v>Watch</x:v>
      </x:c>
      <x:c r="S8" t="str">
        <x:v>A. Martinez</x:v>
      </x:c>
      <x:c r="T8" s="12" t="n">
        <x:v>46309</x:v>
      </x:c>
      <x:c r="U8" t="str">
        <x:v>Confirm carrier booking</x:v>
      </x:c>
      <x:c r="V8" t="str">
        <x:v>Normal</x:v>
      </x:c>
      <x:c r="W8" t="str"/>
      <x:c r="X8" t="str">
        <x:f>IF(COUNTIF(SUPPLIERS!$A$4:$A$100,B8)=0,"INVALID SUPPLIER",IF(AND(W8&lt;&gt;"",COUNTIF('RFQ EVALUATION'!$A$4:$A$100,W8)=0),"INVALID RFQ","OK"))</x:f>
        <x:v>OK</x:v>
      </x:c>
    </x:row>
    <x:row r="9">
      <x:c r="A9" t="str">
        <x:v>PO-26006</x:v>
      </x:c>
      <x:c r="B9" t="str">
        <x:v>SUP-C</x:v>
      </x:c>
      <x:c r="C9" t="str">
        <x:v>Supplier C</x:v>
      </x:c>
      <x:c r="D9" t="str">
        <x:v>HMI panel</x:v>
      </x:c>
      <x:c r="E9" t="str">
        <x:v>PROJECT-B</x:v>
      </x:c>
      <x:c r="F9" s="12" t="n">
        <x:v>46288</x:v>
      </x:c>
      <x:c r="G9" s="12" t="n">
        <x:v>46305</x:v>
      </x:c>
      <x:c r="H9" s="12" t="n">
        <x:v>46316</x:v>
      </x:c>
      <x:c r="I9" t="n">
        <x:v>3</x:v>
      </x:c>
      <x:c r="J9" t="n">
        <x:v>0</x:v>
      </x:c>
      <x:c r="K9" t="n">
        <x:v>3100</x:v>
      </x:c>
      <x:c r="L9" t="n">
        <x:f>I9*K9</x:f>
        <x:v>9300</x:v>
      </x:c>
      <x:c r="M9" t="n">
        <x:f>MAX(0,I9-J9)</x:f>
        <x:v>3</x:v>
      </x:c>
      <x:c r="N9" t="n">
        <x:f>M9*K9</x:f>
        <x:v>9300</x:v>
      </x:c>
      <x:c r="O9" t="n">
        <x:f>IF(M9=0,0,H9-SETTINGS!$B$4)</x:f>
        <x:v>6</x:v>
      </x:c>
      <x:c r="P9" t="n">
        <x:f>IF(M9=0,0,MAX(0,SETTINGS!$B$4-F9))</x:f>
        <x:v>22</x:v>
      </x:c>
      <x:c r="Q9" t="str">
        <x:f>IF(M9=0,"Received",IF(J9&gt;0,"Partially Received","Open"))</x:f>
        <x:v>Open</x:v>
      </x:c>
      <x:c r="R9" t="str">
        <x:f>IF(M9=0,"Closed",IF(H9&lt;SETTINGS!$B$4,"High",IF(H9&lt;=SETTINGS!$B$4+SETTINGS!$B$5,"Watch","Normal")))</x:f>
        <x:v>Normal</x:v>
      </x:c>
      <x:c r="S9" t="str">
        <x:v>J. Lopez</x:v>
      </x:c>
      <x:c r="T9" s="12" t="n">
        <x:v>46307</x:v>
      </x:c>
      <x:c r="U9" t="str">
        <x:v>Escalate ETA change</x:v>
      </x:c>
      <x:c r="V9" t="str">
        <x:v>Engineering impacted</x:v>
      </x:c>
      <x:c r="W9" t="str"/>
      <x:c r="X9" t="str">
        <x:f>IF(COUNTIF(SUPPLIERS!$A$4:$A$100,B9)=0,"INVALID SUPPLIER",IF(AND(W9&lt;&gt;"",COUNTIF('RFQ EVALUATION'!$A$4:$A$100,W9)=0),"INVALID RFQ","OK"))</x:f>
        <x:v>OK</x:v>
      </x:c>
    </x:row>
    <x:row r="10">
      <x:c r="A10" t="str">
        <x:v>PO-26007</x:v>
      </x:c>
      <x:c r="B10" t="str">
        <x:v>SUP-A</x:v>
      </x:c>
      <x:c r="C10" t="str">
        <x:v>Supplier A</x:v>
      </x:c>
      <x:c r="D10" t="str">
        <x:v>Electrical connectors</x:v>
      </x:c>
      <x:c r="E10" t="str">
        <x:v>MRO</x:v>
      </x:c>
      <x:c r="F10" s="12" t="n">
        <x:v>46303</x:v>
      </x:c>
      <x:c r="G10" s="12" t="n">
        <x:v>46322</x:v>
      </x:c>
      <x:c r="H10" s="12" t="n">
        <x:v>46322</x:v>
      </x:c>
      <x:c r="I10" t="n">
        <x:v>200</x:v>
      </x:c>
      <x:c r="J10" t="n">
        <x:v>0</x:v>
      </x:c>
      <x:c r="K10" t="n">
        <x:v>14</x:v>
      </x:c>
      <x:c r="L10" t="n">
        <x:f>I10*K10</x:f>
        <x:v>2800</x:v>
      </x:c>
      <x:c r="M10" t="n">
        <x:f>MAX(0,I10-J10)</x:f>
        <x:v>200</x:v>
      </x:c>
      <x:c r="N10" t="n">
        <x:f>M10*K10</x:f>
        <x:v>2800</x:v>
      </x:c>
      <x:c r="O10" t="n">
        <x:f>IF(M10=0,0,H10-SETTINGS!$B$4)</x:f>
        <x:v>12</x:v>
      </x:c>
      <x:c r="P10" t="n">
        <x:f>IF(M10=0,0,MAX(0,SETTINGS!$B$4-F10))</x:f>
        <x:v>7</x:v>
      </x:c>
      <x:c r="Q10" t="str">
        <x:f>IF(M10=0,"Received",IF(J10&gt;0,"Partially Received","Open"))</x:f>
        <x:v>Open</x:v>
      </x:c>
      <x:c r="R10" t="str">
        <x:f>IF(M10=0,"Closed",IF(H10&lt;SETTINGS!$B$4,"High",IF(H10&lt;=SETTINGS!$B$4+SETTINGS!$B$5,"Watch","Normal")))</x:f>
        <x:v>Normal</x:v>
      </x:c>
      <x:c r="S10" t="str">
        <x:v>A. Martinez</x:v>
      </x:c>
      <x:c r="T10" s="12" t="n">
        <x:v>46309</x:v>
      </x:c>
      <x:c r="U10" t="str">
        <x:v>Monitor</x:v>
      </x:c>
      <x:c r="V10" t="str">
        <x:v>Low exposure</x:v>
      </x:c>
      <x:c r="W10" t="str"/>
      <x:c r="X10" t="str">
        <x:f>IF(COUNTIF(SUPPLIERS!$A$4:$A$100,B10)=0,"INVALID SUPPLIER",IF(AND(W10&lt;&gt;"",COUNTIF('RFQ EVALUATION'!$A$4:$A$100,W10)=0),"INVALID RFQ","OK"))</x:f>
        <x:v>OK</x:v>
      </x:c>
    </x:row>
    <x:row r="11">
      <x:c r="A11" t="str">
        <x:v>PO-26008</x:v>
      </x:c>
      <x:c r="B11" t="str">
        <x:v>SUP-B</x:v>
      </x:c>
      <x:c r="C11" t="str">
        <x:v>Supplier B</x:v>
      </x:c>
      <x:c r="D11" t="str">
        <x:v>Air preparation units</x:v>
      </x:c>
      <x:c r="E11" t="str">
        <x:v>LINE-03</x:v>
      </x:c>
      <x:c r="F11" s="12" t="n">
        <x:v>46286</x:v>
      </x:c>
      <x:c r="G11" s="12" t="n">
        <x:v>46306</x:v>
      </x:c>
      <x:c r="H11" s="12" t="n">
        <x:v>46306</x:v>
      </x:c>
      <x:c r="I11" t="n">
        <x:v>12</x:v>
      </x:c>
      <x:c r="J11" t="n">
        <x:v>12</x:v>
      </x:c>
      <x:c r="K11" t="n">
        <x:v>410</x:v>
      </x:c>
      <x:c r="L11" t="n">
        <x:f>I11*K11</x:f>
        <x:v>4920</x:v>
      </x:c>
      <x:c r="M11" t="n">
        <x:f>MAX(0,I11-J11)</x:f>
        <x:v>0</x:v>
      </x:c>
      <x:c r="N11" t="n">
        <x:f>M11*K11</x:f>
        <x:v>0</x:v>
      </x:c>
      <x:c r="O11" t="n">
        <x:f>IF(M11=0,0,H11-SETTINGS!$B$4)</x:f>
        <x:v>0</x:v>
      </x:c>
      <x:c r="P11" t="n">
        <x:f>IF(M11=0,0,MAX(0,SETTINGS!$B$4-F11))</x:f>
        <x:v>0</x:v>
      </x:c>
      <x:c r="Q11" t="str">
        <x:f>IF(M11=0,"Received",IF(J11&gt;0,"Partially Received","Open"))</x:f>
        <x:v>Received</x:v>
      </x:c>
      <x:c r="R11" t="str">
        <x:f>IF(M11=0,"Closed",IF(H11&lt;SETTINGS!$B$4,"High",IF(H11&lt;=SETTINGS!$B$4+SETTINGS!$B$5,"Watch","Normal")))</x:f>
        <x:v>Closed</x:v>
      </x:c>
      <x:c r="S11" t="str">
        <x:v>J. Lopez</x:v>
      </x:c>
      <x:c r="T11" s="12" t="n">
        <x:v>46308</x:v>
      </x:c>
      <x:c r="U11" t="str">
        <x:v>Archive receipt</x:v>
      </x:c>
      <x:c r="V11" t="str">
        <x:v>Delivered</x:v>
      </x:c>
      <x:c r="W11" t="str"/>
      <x:c r="X11" t="str">
        <x:f>IF(COUNTIF(SUPPLIERS!$A$4:$A$100,B11)=0,"INVALID SUPPLIER",IF(AND(W11&lt;&gt;"",COUNTIF('RFQ EVALUATION'!$A$4:$A$100,W11)=0),"INVALID RFQ","OK"))</x:f>
        <x:v>OK</x:v>
      </x:c>
    </x:row>
    <x:row r="12">
      <x:c r="A12" t="str">
        <x:v>PO-26009</x:v>
      </x:c>
      <x:c r="B12" t="str">
        <x:v>SUP-C</x:v>
      </x:c>
      <x:c r="C12" t="str">
        <x:v>Supplier C</x:v>
      </x:c>
      <x:c r="D12" t="str">
        <x:v>Encoder modules</x:v>
      </x:c>
      <x:c r="E12" t="str">
        <x:v>PROJECT-A</x:v>
      </x:c>
      <x:c r="F12" s="12" t="n">
        <x:v>46295</x:v>
      </x:c>
      <x:c r="G12" s="12" t="n">
        <x:v>46312</x:v>
      </x:c>
      <x:c r="H12" s="12" t="n">
        <x:v>46311</x:v>
      </x:c>
      <x:c r="I12" t="n">
        <x:v>8</x:v>
      </x:c>
      <x:c r="J12" t="n">
        <x:v>0</x:v>
      </x:c>
      <x:c r="K12" t="n">
        <x:v>680</x:v>
      </x:c>
      <x:c r="L12" t="n">
        <x:f>I12*K12</x:f>
        <x:v>5440</x:v>
      </x:c>
      <x:c r="M12" t="n">
        <x:f>MAX(0,I12-J12)</x:f>
        <x:v>8</x:v>
      </x:c>
      <x:c r="N12" t="n">
        <x:f>M12*K12</x:f>
        <x:v>5440</x:v>
      </x:c>
      <x:c r="O12" t="n">
        <x:f>IF(M12=0,0,H12-SETTINGS!$B$4)</x:f>
        <x:v>1</x:v>
      </x:c>
      <x:c r="P12" t="n">
        <x:f>IF(M12=0,0,MAX(0,SETTINGS!$B$4-F12))</x:f>
        <x:v>15</x:v>
      </x:c>
      <x:c r="Q12" t="str">
        <x:f>IF(M12=0,"Received",IF(J12&gt;0,"Partially Received","Open"))</x:f>
        <x:v>Open</x:v>
      </x:c>
      <x:c r="R12" t="str">
        <x:f>IF(M12=0,"Closed",IF(H12&lt;SETTINGS!$B$4,"High",IF(H12&lt;=SETTINGS!$B$4+SETTINGS!$B$5,"Watch","Normal")))</x:f>
        <x:v>Watch</x:v>
      </x:c>
      <x:c r="S12" t="str">
        <x:v>A. Martinez</x:v>
      </x:c>
      <x:c r="T12" s="12" t="n">
        <x:v>46309</x:v>
      </x:c>
      <x:c r="U12" t="str">
        <x:v>Obtain shipment confirmation</x:v>
      </x:c>
      <x:c r="V12" t="str">
        <x:v>Near due</x:v>
      </x:c>
      <x:c r="W12" t="str"/>
      <x:c r="X12" t="str">
        <x:f>IF(COUNTIF(SUPPLIERS!$A$4:$A$100,B12)=0,"INVALID SUPPLIER",IF(AND(W12&lt;&gt;"",COUNTIF('RFQ EVALUATION'!$A$4:$A$100,W12)=0),"INVALID RFQ","OK"))</x:f>
        <x:v>OK</x:v>
      </x:c>
    </x:row>
    <x:row r="13">
      <x:c r="A13" t="str">
        <x:v>PO-26010</x:v>
      </x:c>
      <x:c r="B13" t="str">
        <x:v>SUP-A</x:v>
      </x:c>
      <x:c r="C13" t="str">
        <x:v>Supplier A</x:v>
      </x:c>
      <x:c r="D13" t="str">
        <x:v>Linear actuators</x:v>
      </x:c>
      <x:c r="E13" t="str">
        <x:v>PROJECT-C</x:v>
      </x:c>
      <x:c r="F13" s="12" t="n">
        <x:v>46296</x:v>
      </x:c>
      <x:c r="G13" s="12" t="n">
        <x:v>46325</x:v>
      </x:c>
      <x:c r="H13" s="12" t="n">
        <x:v>46325</x:v>
      </x:c>
      <x:c r="I13" t="n">
        <x:v>6</x:v>
      </x:c>
      <x:c r="J13" t="n">
        <x:v>0</x:v>
      </x:c>
      <x:c r="K13" t="n">
        <x:v>1760</x:v>
      </x:c>
      <x:c r="L13" t="n">
        <x:f>I13*K13</x:f>
        <x:v>10560</x:v>
      </x:c>
      <x:c r="M13" t="n">
        <x:f>MAX(0,I13-J13)</x:f>
        <x:v>6</x:v>
      </x:c>
      <x:c r="N13" t="n">
        <x:f>M13*K13</x:f>
        <x:v>10560</x:v>
      </x:c>
      <x:c r="O13" t="n">
        <x:f>IF(M13=0,0,H13-SETTINGS!$B$4)</x:f>
        <x:v>15</x:v>
      </x:c>
      <x:c r="P13" t="n">
        <x:f>IF(M13=0,0,MAX(0,SETTINGS!$B$4-F13))</x:f>
        <x:v>14</x:v>
      </x:c>
      <x:c r="Q13" t="str">
        <x:f>IF(M13=0,"Received",IF(J13&gt;0,"Partially Received","Open"))</x:f>
        <x:v>Open</x:v>
      </x:c>
      <x:c r="R13" t="str">
        <x:f>IF(M13=0,"Closed",IF(H13&lt;SETTINGS!$B$4,"High",IF(H13&lt;=SETTINGS!$B$4+SETTINGS!$B$5,"Watch","Normal")))</x:f>
        <x:v>Normal</x:v>
      </x:c>
      <x:c r="S13" t="str">
        <x:v>J. Lopez</x:v>
      </x:c>
      <x:c r="T13" s="12" t="n">
        <x:v>46308</x:v>
      </x:c>
      <x:c r="U13" t="str">
        <x:v>Check manufacturing status</x:v>
      </x:c>
      <x:c r="V13" t="str">
        <x:v>Project installation scheduled</x:v>
      </x:c>
      <x:c r="W13" t="str"/>
      <x:c r="X13" t="str">
        <x:f>IF(COUNTIF(SUPPLIERS!$A$4:$A$100,B13)=0,"INVALID SUPPLIER",IF(AND(W13&lt;&gt;"",COUNTIF('RFQ EVALUATION'!$A$4:$A$100,W13)=0),"INVALID RFQ","OK"))</x:f>
        <x:v>OK</x:v>
      </x:c>
    </x:row>
    <x:row r="14">
      <x:c r="F14" s="12"/>
      <x:c r="G14" s="12"/>
      <x:c r="H14" s="12"/>
      <x:c r="T14" s="12"/>
    </x:row>
    <x:row r="15">
      <x:c r="F15" s="12"/>
      <x:c r="G15" s="12"/>
      <x:c r="H15" s="12"/>
      <x:c r="T15" s="12"/>
    </x:row>
    <x:row r="16">
      <x:c r="F16" s="12"/>
      <x:c r="G16" s="12"/>
      <x:c r="H16" s="12"/>
      <x:c r="T16" s="12"/>
    </x:row>
    <x:row r="17">
      <x:c r="F17" s="12"/>
      <x:c r="G17" s="12"/>
      <x:c r="H17" s="12"/>
      <x:c r="T17" s="12"/>
    </x:row>
    <x:row r="18">
      <x:c r="F18" s="12"/>
      <x:c r="G18" s="12"/>
      <x:c r="H18" s="12"/>
      <x:c r="T18" s="12"/>
    </x:row>
    <x:row r="19">
      <x:c r="F19" s="12"/>
      <x:c r="G19" s="12"/>
      <x:c r="H19" s="12"/>
      <x:c r="T19" s="12"/>
    </x:row>
    <x:row r="20">
      <x:c r="F20" s="12"/>
      <x:c r="G20" s="12"/>
      <x:c r="H20" s="12"/>
      <x:c r="T20" s="12"/>
    </x:row>
    <x:row r="21">
      <x:c r="F21" s="12"/>
      <x:c r="G21" s="12"/>
      <x:c r="H21" s="12"/>
      <x:c r="T21" s="12"/>
    </x:row>
    <x:row r="22">
      <x:c r="F22" s="12"/>
      <x:c r="G22" s="12"/>
      <x:c r="H22" s="12"/>
      <x:c r="T22" s="12"/>
    </x:row>
    <x:row r="23">
      <x:c r="F23" s="12"/>
      <x:c r="G23" s="12"/>
      <x:c r="H23" s="12"/>
      <x:c r="T23" s="12"/>
    </x:row>
    <x:row r="24">
      <x:c r="F24" s="12"/>
      <x:c r="G24" s="12"/>
      <x:c r="H24" s="12"/>
      <x:c r="T24" s="12"/>
    </x:row>
    <x:row r="25">
      <x:c r="F25" s="12"/>
      <x:c r="G25" s="12"/>
      <x:c r="H25" s="12"/>
      <x:c r="T25" s="12"/>
    </x:row>
    <x:row r="26">
      <x:c r="F26" s="12"/>
      <x:c r="G26" s="12"/>
      <x:c r="H26" s="12"/>
      <x:c r="T26" s="12"/>
    </x:row>
    <x:row r="27">
      <x:c r="F27" s="12"/>
      <x:c r="G27" s="12"/>
      <x:c r="H27" s="12"/>
      <x:c r="T27" s="12"/>
    </x:row>
    <x:row r="28">
      <x:c r="F28" s="12"/>
      <x:c r="G28" s="12"/>
      <x:c r="H28" s="12"/>
      <x:c r="T28" s="12"/>
    </x:row>
    <x:row r="29">
      <x:c r="F29" s="12"/>
      <x:c r="G29" s="12"/>
      <x:c r="H29" s="12"/>
      <x:c r="T29" s="12"/>
    </x:row>
    <x:row r="30">
      <x:c r="F30" s="12"/>
      <x:c r="G30" s="12"/>
      <x:c r="H30" s="12"/>
      <x:c r="T30" s="12"/>
    </x:row>
    <x:row r="31">
      <x:c r="F31" s="12"/>
      <x:c r="G31" s="12"/>
      <x:c r="H31" s="12"/>
      <x:c r="T31" s="12"/>
    </x:row>
    <x:row r="32">
      <x:c r="F32" s="12"/>
      <x:c r="G32" s="12"/>
      <x:c r="H32" s="12"/>
      <x:c r="T32" s="12"/>
    </x:row>
    <x:row r="33">
      <x:c r="F33" s="12"/>
      <x:c r="G33" s="12"/>
      <x:c r="H33" s="12"/>
      <x:c r="T33" s="12"/>
    </x:row>
    <x:row r="34">
      <x:c r="F34" s="12"/>
      <x:c r="G34" s="12"/>
      <x:c r="H34" s="12"/>
      <x:c r="T34" s="12"/>
    </x:row>
    <x:row r="35">
      <x:c r="F35" s="12"/>
      <x:c r="G35" s="12"/>
      <x:c r="H35" s="12"/>
      <x:c r="T35" s="12"/>
    </x:row>
    <x:row r="36">
      <x:c r="F36" s="12"/>
      <x:c r="G36" s="12"/>
      <x:c r="H36" s="12"/>
      <x:c r="T36" s="12"/>
    </x:row>
    <x:row r="37">
      <x:c r="F37" s="12"/>
      <x:c r="G37" s="12"/>
      <x:c r="H37" s="12"/>
      <x:c r="T37" s="12"/>
    </x:row>
    <x:row r="38">
      <x:c r="F38" s="12"/>
      <x:c r="G38" s="12"/>
      <x:c r="H38" s="12"/>
      <x:c r="T38" s="12"/>
    </x:row>
    <x:row r="39">
      <x:c r="F39" s="12"/>
      <x:c r="G39" s="12"/>
      <x:c r="H39" s="12"/>
      <x:c r="T39" s="12"/>
    </x:row>
    <x:row r="40">
      <x:c r="F40" s="12"/>
      <x:c r="G40" s="12"/>
      <x:c r="H40" s="12"/>
      <x:c r="T40" s="12"/>
    </x:row>
    <x:row r="41">
      <x:c r="F41" s="12"/>
      <x:c r="G41" s="12"/>
      <x:c r="H41" s="12"/>
      <x:c r="T41" s="12"/>
    </x:row>
    <x:row r="42">
      <x:c r="F42" s="12"/>
      <x:c r="G42" s="12"/>
      <x:c r="H42" s="12"/>
      <x:c r="T42" s="12"/>
    </x:row>
    <x:row r="43">
      <x:c r="F43" s="12"/>
      <x:c r="G43" s="12"/>
      <x:c r="H43" s="12"/>
      <x:c r="T43" s="12"/>
    </x:row>
    <x:row r="44">
      <x:c r="F44" s="12"/>
      <x:c r="G44" s="12"/>
      <x:c r="H44" s="12"/>
      <x:c r="T44" s="12"/>
    </x:row>
    <x:row r="45">
      <x:c r="F45" s="12"/>
      <x:c r="G45" s="12"/>
      <x:c r="H45" s="12"/>
      <x:c r="T45" s="12"/>
    </x:row>
    <x:row r="46">
      <x:c r="F46" s="12"/>
      <x:c r="G46" s="12"/>
      <x:c r="H46" s="12"/>
      <x:c r="T46" s="12"/>
    </x:row>
    <x:row r="47">
      <x:c r="F47" s="12"/>
      <x:c r="G47" s="12"/>
      <x:c r="H47" s="12"/>
      <x:c r="T47" s="12"/>
    </x:row>
    <x:row r="48">
      <x:c r="F48" s="12"/>
      <x:c r="G48" s="12"/>
      <x:c r="H48" s="12"/>
      <x:c r="T48" s="12"/>
    </x:row>
    <x:row r="49">
      <x:c r="F49" s="12"/>
      <x:c r="G49" s="12"/>
      <x:c r="H49" s="12"/>
      <x:c r="T49" s="12"/>
    </x:row>
    <x:row r="50">
      <x:c r="F50" s="12"/>
      <x:c r="G50" s="12"/>
      <x:c r="H50" s="12"/>
      <x:c r="T5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3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2" customHeight="1">
      <x:c r="A1" s="3" t="str">
        <x:v>EVOF | Supply Risk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 ht="35" customHeight="1">
      <x:c r="A3" s="8" t="str">
        <x:v>Risk ID</x:v>
      </x:c>
      <x:c r="B3" s="8" t="str">
        <x:v>Related PO ID</x:v>
      </x:c>
      <x:c r="C3" s="8" t="str">
        <x:v>Category</x:v>
      </x:c>
      <x:c r="D3" s="8" t="str">
        <x:v>Description</x:v>
      </x:c>
      <x:c r="E3" s="8" t="str">
        <x:v>Likelihood 1-5</x:v>
      </x:c>
      <x:c r="F3" s="8" t="str">
        <x:v>Impact 1-5</x:v>
      </x:c>
      <x:c r="G3" s="8" t="str">
        <x:v>Risk Score</x:v>
      </x:c>
      <x:c r="H3" s="8" t="str">
        <x:v>Priority</x:v>
      </x:c>
      <x:c r="I3" s="8" t="str">
        <x:v>Owner</x:v>
      </x:c>
      <x:c r="J3" s="8" t="str">
        <x:v>Mitigation / Contingency</x:v>
      </x:c>
      <x:c r="K3" s="8" t="str">
        <x:v>Next Action</x:v>
      </x:c>
      <x:c r="L3" s="8" t="str">
        <x:v>Action Due</x:v>
      </x:c>
      <x:c r="M3" s="8" t="str">
        <x:v>Status</x:v>
      </x:c>
      <x:c r="N3" s="8" t="str">
        <x:v>Last Reviewed</x:v>
      </x:c>
      <x:c r="O3" s="8" t="str">
        <x:v>Escalation</x:v>
      </x:c>
      <x:c r="P3" s="8" t="str">
        <x:v>Evidence / Notes</x:v>
      </x:c>
      <x:c r="Q3" s="8" t="str">
        <x:v>PO Link Check</x:v>
      </x:c>
    </x:row>
    <x:row r="4">
      <x:c r="A4" t="str">
        <x:v>R-001</x:v>
      </x:c>
      <x:c r="B4" t="str">
        <x:v>PO-26001</x:v>
      </x:c>
      <x:c r="C4" t="str">
        <x:v>Late Delivery</x:v>
      </x:c>
      <x:c r="D4" t="str">
        <x:v>Remaining servo assemblies delayed</x:v>
      </x:c>
      <x:c r="E4" t="n">
        <x:v>4</x:v>
      </x:c>
      <x:c r="F4" t="n">
        <x:v>4</x:v>
      </x:c>
      <x:c r="G4" t="n">
        <x:f>E4*F4</x:f>
        <x:v>16</x:v>
      </x:c>
      <x:c r="H4" t="str">
        <x:f>IF(G4&gt;=SETTINGS!$B$7,"Critical",IF(G4&gt;=SETTINGS!$B$6,"High",IF(G4&gt;=6,"Medium","Low")))</x:f>
        <x:v>Critical</x:v>
      </x:c>
      <x:c r="I4" t="str">
        <x:v>A. Martinez</x:v>
      </x:c>
      <x:c r="J4" t="str">
        <x:v>Expedite partial shipment and assess alternate stock</x:v>
      </x:c>
      <x:c r="K4" t="str">
        <x:v>Confirm carrier pickup</x:v>
      </x:c>
      <x:c r="L4" s="12" t="n">
        <x:v>46311</x:v>
      </x:c>
      <x:c r="M4" t="str">
        <x:v>In Progress</x:v>
      </x:c>
      <x:c r="N4" s="12" t="n">
        <x:v>46309</x:v>
      </x:c>
      <x:c r="O4" t="str">
        <x:v>Project Manager</x:v>
      </x:c>
      <x:c r="P4" t="str">
        <x:v>6 outstanding</x:v>
      </x:c>
      <x:c r="Q4" t="str">
        <x:f>IF(COUNTIF('PO MASTER'!$A$4:$A$103,B4)=1,"LINKED","INVALID PO")</x:f>
        <x:v>LINKED</x:v>
      </x:c>
    </x:row>
    <x:row r="5">
      <x:c r="A5" t="str">
        <x:v>R-002</x:v>
      </x:c>
      <x:c r="B5" t="str">
        <x:v>PO-26002</x:v>
      </x:c>
      <x:c r="C5" t="str">
        <x:v>Supplier Capacity</x:v>
      </x:c>
      <x:c r="D5" t="str">
        <x:v>Revised ETA beyond requested due date</x:v>
      </x:c>
      <x:c r="E5" t="n">
        <x:v>4</x:v>
      </x:c>
      <x:c r="F5" t="n">
        <x:v>3</x:v>
      </x:c>
      <x:c r="G5" t="n">
        <x:f>E5*F5</x:f>
        <x:v>12</x:v>
      </x:c>
      <x:c r="H5" t="str">
        <x:f>IF(G5&gt;=SETTINGS!$B$7,"Critical",IF(G5&gt;=SETTINGS!$B$6,"High",IF(G5&gt;=6,"Medium","Low")))</x:f>
        <x:v>High</x:v>
      </x:c>
      <x:c r="I5" t="str">
        <x:v>A. Martinez</x:v>
      </x:c>
      <x:c r="J5" t="str">
        <x:v>Request recovery schedule; evaluate split shipment</x:v>
      </x:c>
      <x:c r="K5" t="str">
        <x:v>Supplier escalation call</x:v>
      </x:c>
      <x:c r="L5" s="12" t="n">
        <x:v>46312</x:v>
      </x:c>
      <x:c r="M5" t="str">
        <x:v>Open</x:v>
      </x:c>
      <x:c r="N5" s="12" t="n">
        <x:v>46310</x:v>
      </x:c>
      <x:c r="O5" t="str">
        <x:v>Purchasing Lead</x:v>
      </x:c>
      <x:c r="P5" t="str">
        <x:v>Supplier B capacity</x:v>
      </x:c>
      <x:c r="Q5" t="str">
        <x:f>IF(COUNTIF('PO MASTER'!$A$4:$A$103,B5)=1,"LINKED","INVALID PO")</x:f>
        <x:v>LINKED</x:v>
      </x:c>
    </x:row>
    <x:row r="6">
      <x:c r="A6" t="str">
        <x:v>R-003</x:v>
      </x:c>
      <x:c r="B6" t="str">
        <x:v>PO-26006</x:v>
      </x:c>
      <x:c r="C6" t="str">
        <x:v>Project Delay</x:v>
      </x:c>
      <x:c r="D6" t="str">
        <x:v>HMI late arrival threatens commissioning</x:v>
      </x:c>
      <x:c r="E6" t="n">
        <x:v>5</x:v>
      </x:c>
      <x:c r="F6" t="n">
        <x:v>5</x:v>
      </x:c>
      <x:c r="G6" t="n">
        <x:f>E6*F6</x:f>
        <x:v>25</x:v>
      </x:c>
      <x:c r="H6" t="str">
        <x:f>IF(G6&gt;=SETTINGS!$B$7,"Critical",IF(G6&gt;=SETTINGS!$B$6,"High",IF(G6&gt;=6,"Medium","Low")))</x:f>
        <x:v>Critical</x:v>
      </x:c>
      <x:c r="I6" t="str">
        <x:v>J. Lopez</x:v>
      </x:c>
      <x:c r="J6" t="str">
        <x:v>Validate substitute and reschedule install sequence</x:v>
      </x:c>
      <x:c r="K6" t="str">
        <x:v>Engineering approval</x:v>
      </x:c>
      <x:c r="L6" s="12" t="n">
        <x:v>46311</x:v>
      </x:c>
      <x:c r="M6" t="str">
        <x:v>In Progress</x:v>
      </x:c>
      <x:c r="N6" s="12" t="n">
        <x:v>46310</x:v>
      </x:c>
      <x:c r="O6" t="str">
        <x:v>Operations Manager</x:v>
      </x:c>
      <x:c r="P6" t="str">
        <x:v>Critical path</x:v>
      </x:c>
      <x:c r="Q6" t="str">
        <x:f>IF(COUNTIF('PO MASTER'!$A$4:$A$103,B6)=1,"LINKED","INVALID PO")</x:f>
        <x:v>LINKED</x:v>
      </x:c>
    </x:row>
    <x:row r="7">
      <x:c r="A7" t="str">
        <x:v>R-004</x:v>
      </x:c>
      <x:c r="B7" t="str">
        <x:v>PO-26003</x:v>
      </x:c>
      <x:c r="C7" t="str">
        <x:v>Single Source</x:v>
      </x:c>
      <x:c r="D7" t="str">
        <x:v>PLC available from one qualified supplier</x:v>
      </x:c>
      <x:c r="E7" t="n">
        <x:v>3</x:v>
      </x:c>
      <x:c r="F7" t="n">
        <x:v>5</x:v>
      </x:c>
      <x:c r="G7" t="n">
        <x:f>E7*F7</x:f>
        <x:v>15</x:v>
      </x:c>
      <x:c r="H7" t="str">
        <x:f>IF(G7&gt;=SETTINGS!$B$7,"Critical",IF(G7&gt;=SETTINGS!$B$6,"High",IF(G7&gt;=6,"Medium","Low")))</x:f>
        <x:v>High</x:v>
      </x:c>
      <x:c r="I7" t="str">
        <x:v>J. Lopez</x:v>
      </x:c>
      <x:c r="J7" t="str">
        <x:v>Validate backup qualified option</x:v>
      </x:c>
      <x:c r="K7" t="str">
        <x:v>Check second-source feasibility</x:v>
      </x:c>
      <x:c r="L7" s="12" t="n">
        <x:v>46315</x:v>
      </x:c>
      <x:c r="M7" t="str">
        <x:v>Open</x:v>
      </x:c>
      <x:c r="N7" s="12" t="n">
        <x:v>46308</x:v>
      </x:c>
      <x:c r="O7" t="str">
        <x:v>Engineering</x:v>
      </x:c>
      <x:c r="P7" t="str">
        <x:v>Qualification needed</x:v>
      </x:c>
      <x:c r="Q7" t="str">
        <x:f>IF(COUNTIF('PO MASTER'!$A$4:$A$103,B7)=1,"LINKED","INVALID PO")</x:f>
        <x:v>LINKED</x:v>
      </x:c>
    </x:row>
    <x:row r="8">
      <x:c r="A8" t="str">
        <x:v>R-005</x:v>
      </x:c>
      <x:c r="B8" t="str">
        <x:v>PO-26009</x:v>
      </x:c>
      <x:c r="C8" t="str">
        <x:v>Logistics</x:v>
      </x:c>
      <x:c r="D8" t="str">
        <x:v>Encoder shipment confirmation pending</x:v>
      </x:c>
      <x:c r="E8" t="n">
        <x:v>2</x:v>
      </x:c>
      <x:c r="F8" t="n">
        <x:v>3</x:v>
      </x:c>
      <x:c r="G8" t="n">
        <x:f>E8*F8</x:f>
        <x:v>6</x:v>
      </x:c>
      <x:c r="H8" t="str">
        <x:f>IF(G8&gt;=SETTINGS!$B$7,"Critical",IF(G8&gt;=SETTINGS!$B$6,"High",IF(G8&gt;=6,"Medium","Low")))</x:f>
        <x:v>Medium</x:v>
      </x:c>
      <x:c r="I8" t="str">
        <x:v>A. Martinez</x:v>
      </x:c>
      <x:c r="J8" t="str">
        <x:v>Obtain AWB and transit milestones</x:v>
      </x:c>
      <x:c r="K8" t="str">
        <x:v>Request tracking ID</x:v>
      </x:c>
      <x:c r="L8" s="12" t="n">
        <x:v>46311</x:v>
      </x:c>
      <x:c r="M8" t="str">
        <x:v>Open</x:v>
      </x:c>
      <x:c r="N8" s="12" t="n">
        <x:v>46310</x:v>
      </x:c>
      <x:c r="O8" t="str">
        <x:v>Buyer</x:v>
      </x:c>
      <x:c r="P8" t="str">
        <x:v>Monitor</x:v>
      </x:c>
      <x:c r="Q8" t="str">
        <x:f>IF(COUNTIF('PO MASTER'!$A$4:$A$103,B8)=1,"LINKED","INVALID PO")</x:f>
        <x:v>LINKED</x:v>
      </x:c>
    </x:row>
    <x:row r="9">
      <x:c r="L9" s="12"/>
      <x:c r="N9" s="12"/>
    </x:row>
    <x:row r="10">
      <x:c r="L10" s="12"/>
      <x:c r="N10" s="12"/>
    </x:row>
    <x:row r="11">
      <x:c r="L11" s="12"/>
      <x:c r="N11" s="12"/>
    </x:row>
    <x:row r="12">
      <x:c r="L12" s="12"/>
      <x:c r="N12" s="12"/>
    </x:row>
    <x:row r="13">
      <x:c r="L13" s="12"/>
      <x:c r="N13" s="12"/>
    </x:row>
    <x:row r="14">
      <x:c r="L14" s="12"/>
      <x:c r="N14" s="12"/>
    </x:row>
    <x:row r="15">
      <x:c r="L15" s="12"/>
      <x:c r="N15" s="12"/>
    </x:row>
    <x:row r="16">
      <x:c r="L16" s="12"/>
      <x:c r="N16" s="12"/>
    </x:row>
    <x:row r="17">
      <x:c r="L17" s="12"/>
      <x:c r="N17" s="12"/>
    </x:row>
    <x:row r="18">
      <x:c r="L18" s="12"/>
      <x:c r="N18" s="12"/>
    </x:row>
    <x:row r="19">
      <x:c r="L19" s="12"/>
      <x:c r="N19" s="12"/>
    </x:row>
    <x:row r="20">
      <x:c r="L20" s="12"/>
      <x:c r="N20" s="12"/>
    </x:row>
    <x:row r="21">
      <x:c r="L21" s="12"/>
      <x:c r="N21" s="12"/>
    </x:row>
    <x:row r="22">
      <x:c r="L22" s="12"/>
      <x:c r="N22" s="12"/>
    </x:row>
    <x:row r="23">
      <x:c r="L23" s="12"/>
      <x:c r="N23" s="12"/>
    </x:row>
    <x:row r="24">
      <x:c r="L24" s="12"/>
      <x:c r="N24" s="12"/>
    </x:row>
    <x:row r="25">
      <x:c r="L25" s="12"/>
      <x:c r="N25" s="12"/>
    </x:row>
    <x:row r="26">
      <x:c r="L26" s="12"/>
      <x:c r="N26" s="12"/>
    </x:row>
    <x:row r="27">
      <x:c r="L27" s="12"/>
      <x:c r="N27" s="12"/>
    </x:row>
    <x:row r="28">
      <x:c r="L28" s="12"/>
      <x:c r="N28" s="12"/>
    </x:row>
    <x:row r="29">
      <x:c r="L29" s="12"/>
      <x:c r="N29" s="12"/>
    </x:row>
    <x:row r="30">
      <x:c r="L30" s="12"/>
      <x:c r="N30" s="12"/>
    </x:row>
    <x:row r="31">
      <x:c r="L31" s="12"/>
      <x:c r="N31" s="12"/>
    </x:row>
    <x:row r="32">
      <x:c r="L32" s="12"/>
      <x:c r="N32" s="12"/>
    </x:row>
    <x:row r="33">
      <x:c r="L33" s="12"/>
      <x:c r="N33" s="12"/>
    </x:row>
    <x:row r="34">
      <x:c r="L34" s="12"/>
      <x:c r="N34" s="12"/>
    </x:row>
    <x:row r="35">
      <x:c r="L35" s="12"/>
      <x:c r="N35" s="12"/>
    </x:row>
    <x:row r="36">
      <x:c r="L36" s="12"/>
      <x:c r="N36" s="12"/>
    </x:row>
    <x:row r="37">
      <x:c r="L37" s="12"/>
      <x:c r="N37" s="12"/>
    </x:row>
    <x:row r="38">
      <x:c r="L38" s="12"/>
      <x:c r="N38" s="12"/>
    </x:row>
    <x:row r="39">
      <x:c r="L39" s="12"/>
      <x:c r="N39" s="12"/>
    </x:row>
    <x:row r="40">
      <x:c r="L40" s="12"/>
      <x:c r="N40" s="12"/>
    </x:row>
    <x:row r="41">
      <x:c r="L41" s="12"/>
      <x:c r="N41" s="12"/>
    </x:row>
    <x:row r="42">
      <x:c r="L42" s="12"/>
      <x:c r="N42" s="12"/>
    </x:row>
    <x:row r="43">
      <x:c r="L43" s="12"/>
      <x:c r="N43" s="12"/>
    </x:row>
    <x:row r="44">
      <x:c r="L44" s="12"/>
      <x:c r="N44" s="12"/>
    </x:row>
    <x:row r="45">
      <x:c r="L45" s="12"/>
      <x:c r="N45" s="12"/>
    </x:row>
    <x:row r="46">
      <x:c r="L46" s="12"/>
      <x:c r="N46" s="12"/>
    </x:row>
    <x:row r="47">
      <x:c r="L47" s="12"/>
      <x:c r="N47" s="12"/>
    </x:row>
    <x:row r="48">
      <x:c r="L48" s="12"/>
      <x:c r="N48" s="12"/>
    </x:row>
    <x:row r="49">
      <x:c r="L49" s="12"/>
      <x:c r="N49" s="12"/>
    </x:row>
    <x:row r="50">
      <x:c r="L50" s="12"/>
      <x:c r="N5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2" customHeight="1">
      <x:c r="A1" s="3" t="str">
        <x:v>EVOF | Live Supplier Scorecard</x:v>
      </x:c>
      <x:c r="B1" s="3"/>
      <x:c r="C1" s="3"/>
      <x:c r="D1" s="3"/>
      <x:c r="E1" s="3"/>
      <x:c r="F1" s="3"/>
      <x:c r="G1" s="3"/>
      <x:c r="H1" s="3"/>
    </x:row>
    <x:row r="3" ht="35" customHeight="1">
      <x:c r="A3" s="8" t="str">
        <x:v>Supplier ID</x:v>
      </x:c>
      <x:c r="B3" s="8" t="str">
        <x:v>Supplier</x:v>
      </x:c>
      <x:c r="C3" s="8" t="str">
        <x:v>PO Count</x:v>
      </x:c>
      <x:c r="D3" s="8" t="str">
        <x:v>PO Value USD</x:v>
      </x:c>
      <x:c r="E3" s="8" t="str">
        <x:v>Open Exposure USD</x:v>
      </x:c>
      <x:c r="F3" s="8" t="str">
        <x:v>High Delivery Risk POs</x:v>
      </x:c>
      <x:c r="G3" s="8" t="str">
        <x:v>Registered Risks</x:v>
      </x:c>
      <x:c r="H3" s="8" t="str">
        <x:v>Open Qty Units</x:v>
      </x:c>
    </x:row>
    <x:row r="4">
      <x:c r="A4" t="str">
        <x:f>SUPPLIERS!A4</x:f>
        <x:v>SUP-A</x:v>
      </x:c>
      <x:c r="B4" t="str">
        <x:f>SUPPLIERS!B4</x:f>
        <x:v>Supplier A</x:v>
      </x:c>
      <x:c r="C4" t="n">
        <x:f>COUNTIF('PO MASTER'!$B$4:$B$103,A4)</x:f>
        <x:v>4</x:v>
      </x:c>
      <x:c r="D4" t="n">
        <x:f>SUMIF('PO MASTER'!$B$4:$B$103,A4,'PO MASTER'!$L$4:$L$103)</x:f>
        <x:v>29680</x:v>
      </x:c>
      <x:c r="E4" t="n">
        <x:f>SUMIF('PO MASTER'!$B$4:$B$103,A4,'PO MASTER'!$N$4:$N$103)</x:f>
        <x:v>21040</x:v>
      </x:c>
      <x:c r="F4" t="n">
        <x:f>COUNTIFS('PO MASTER'!$B$4:$B$103,A4,'PO MASTER'!$R$4:$R$103,"High")</x:f>
        <x:v>1</x:v>
      </x:c>
      <x:c r="G4" t="n">
        <x:f>SUMPRODUCT(('PO MASTER'!$B$4:$B$13=A4)*COUNTIF('RISK REGISTER'!$B$4:$B$8,'PO MASTER'!$A$4:$A$13))</x:f>
        <x:v>0</x:v>
      </x:c>
      <x:c r="H4" t="n">
        <x:f>SUMIF('PO MASTER'!$B$4:$B$103,A4,'PO MASTER'!$M$4:$M$103)</x:f>
        <x:v>212</x:v>
      </x:c>
    </x:row>
    <x:row r="5">
      <x:c r="A5" t="str">
        <x:f>SUPPLIERS!A5</x:f>
        <x:v>SUP-B</x:v>
      </x:c>
      <x:c r="B5" t="str">
        <x:f>SUPPLIERS!B5</x:f>
        <x:v>Supplier B</x:v>
      </x:c>
      <x:c r="C5" t="n">
        <x:f>COUNTIF('PO MASTER'!$B$4:$B$103,A5)</x:f>
        <x:v>3</x:v>
      </x:c>
      <x:c r="D5" t="n">
        <x:f>SUMIF('PO MASTER'!$B$4:$B$103,A5,'PO MASTER'!$L$4:$L$103)</x:f>
        <x:v>15995</x:v>
      </x:c>
      <x:c r="E5" t="n">
        <x:f>SUMIF('PO MASTER'!$B$4:$B$103,A5,'PO MASTER'!$N$4:$N$103)</x:f>
        <x:v>11075</x:v>
      </x:c>
      <x:c r="F5" t="n">
        <x:f>COUNTIFS('PO MASTER'!$B$4:$B$103,A5,'PO MASTER'!$R$4:$R$103,"High")</x:f>
        <x:v>0</x:v>
      </x:c>
      <x:c r="G5" t="n">
        <x:f>SUMPRODUCT(('PO MASTER'!$B$4:$B$13=A5)*COUNTIF('RISK REGISTER'!$B$4:$B$8,'PO MASTER'!$A$4:$A$13))</x:f>
        <x:v>0</x:v>
      </x:c>
      <x:c r="H5" t="n">
        <x:f>SUMIF('PO MASTER'!$B$4:$B$103,A5,'PO MASTER'!$M$4:$M$103)</x:f>
        <x:v>85</x:v>
      </x:c>
    </x:row>
    <x:row r="6">
      <x:c r="A6" t="str">
        <x:f>SUPPLIERS!A6</x:f>
        <x:v>SUP-C</x:v>
      </x:c>
      <x:c r="B6" t="str">
        <x:f>SUPPLIERS!B6</x:f>
        <x:v>Supplier C</x:v>
      </x:c>
      <x:c r="C6" t="n">
        <x:f>COUNTIF('PO MASTER'!$B$4:$B$103,A6)</x:f>
        <x:v>3</x:v>
      </x:c>
      <x:c r="D6" t="n">
        <x:f>SUMIF('PO MASTER'!$B$4:$B$103,A6,'PO MASTER'!$L$4:$L$103)</x:f>
        <x:v>23740</x:v>
      </x:c>
      <x:c r="E6" t="n">
        <x:f>SUMIF('PO MASTER'!$B$4:$B$103,A6,'PO MASTER'!$N$4:$N$103)</x:f>
        <x:v>23740</x:v>
      </x:c>
      <x:c r="F6" t="n">
        <x:f>COUNTIFS('PO MASTER'!$B$4:$B$103,A6,'PO MASTER'!$R$4:$R$103,"High")</x:f>
        <x:v>0</x:v>
      </x:c>
      <x:c r="G6" t="n">
        <x:f>SUMPRODUCT(('PO MASTER'!$B$4:$B$13=A6)*COUNTIF('RISK REGISTER'!$B$4:$B$8,'PO MASTER'!$A$4:$A$13))</x:f>
        <x:v>0</x:v>
      </x:c>
      <x:c r="H6" t="n">
        <x:f>SUMIF('PO MASTER'!$B$4:$B$103,A6,'PO MASTER'!$M$4:$M$103)</x:f>
        <x:v>15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2" customHeight="1">
      <x:c r="A1" s="3" t="str">
        <x:v>EVOF | Model Parameters</x:v>
      </x:c>
      <x:c r="B1" s="3"/>
      <x:c r="C1" s="3"/>
      <x:c r="D1" s="3"/>
    </x:row>
    <x:row r="3" ht="28" customHeight="1">
      <x:c r="A3" s="8" t="str">
        <x:v>Parameter</x:v>
      </x:c>
      <x:c r="B3" s="8" t="str">
        <x:v>Value</x:v>
      </x:c>
      <x:c r="C3" s="8" t="str">
        <x:v>Explanation</x:v>
      </x:c>
      <x:c r="D3" s="8" t="str"/>
    </x:row>
    <x:row r="4">
      <x:c r="A4" t="str">
        <x:v>As-of date</x:v>
      </x:c>
      <x:c r="B4" s="12" t="n">
        <x:v>46310</x:v>
      </x:c>
      <x:c r="C4" t="str">
        <x:v>Scenario date (Excel serial; 2026-10-15)</x:v>
      </x:c>
    </x:row>
    <x:row r="5">
      <x:c r="A5" t="str">
        <x:v>Watch window days</x:v>
      </x:c>
      <x:c r="B5" t="n">
        <x:v>5</x:v>
      </x:c>
      <x:c r="C5" t="str">
        <x:v>Alert when ETA is within this many days</x:v>
      </x:c>
    </x:row>
    <x:row r="6">
      <x:c r="A6" t="str">
        <x:v>High risk score</x:v>
      </x:c>
      <x:c r="B6" t="n">
        <x:v>12</x:v>
      </x:c>
      <x:c r="C6" t="str">
        <x:v>Likelihood × impact threshold</x:v>
      </x:c>
    </x:row>
    <x:row r="7">
      <x:c r="A7" t="str">
        <x:v>Critical risk score</x:v>
      </x:c>
      <x:c r="B7" t="n">
        <x:v>16</x:v>
      </x:c>
      <x:c r="C7" t="str">
        <x:v>Likelihood × impact threshold</x:v>
      </x:c>
    </x:row>
    <x:row r="8">
      <x:c r="A8" t="str">
        <x:v>Target on-time delivery</x:v>
      </x:c>
      <x:c r="B8" s="14" t="n">
        <x:v>0.95</x:v>
      </x:c>
      <x:c r="C8" t="str">
        <x:v>Target; actual OTD requires actual receipt dates</x:v>
      </x:c>
    </x:row>
    <x:row r="9">
      <x:c r="A9" t="str">
        <x:v>Currency</x:v>
      </x:c>
      <x:c r="B9" t="str">
        <x:v>USD</x:v>
      </x:c>
      <x:c r="C9" t="str">
        <x:v>Illustrative model currency</x:v>
      </x:c>
    </x:row>
    <x:row r="10">
      <x:c r="A10" t="str">
        <x:v>Scenario</x:v>
      </x:c>
      <x:c r="B10" t="str">
        <x:v>Fictional industrial procurement</x:v>
      </x:c>
      <x:c r="C10" t="str">
        <x:v>Independent portfolio project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  <x:col min="5" max="5" width="20" hidden="0" customWidth="1"/>
    <x:col min="6" max="6" width="62" hidden="0" customWidth="1"/>
  </x:cols>
  <x:sheetData>
    <x:row r="1" ht="32" customHeight="1">
      <x:c r="A1" s="19" t="str">
        <x:v>Rule ID</x:v>
      </x:c>
      <x:c r="B1" s="19" t="str">
        <x:v>Min PO USD</x:v>
      </x:c>
      <x:c r="C1" s="19" t="str">
        <x:v>Max PO USD</x:v>
      </x:c>
      <x:c r="D1" s="19" t="str">
        <x:v>Required Approver Role</x:v>
      </x:c>
      <x:c r="E1" s="19" t="str">
        <x:v>Second Approval</x:v>
      </x:c>
      <x:c r="F1" s="19" t="str">
        <x:v>Notes</x:v>
      </x:c>
    </x:row>
    <x:row r="2">
      <x:c r="A2" t="str">
        <x:v>AP-01</x:v>
      </x:c>
      <x:c r="B2" s="20" t="n">
        <x:v>0</x:v>
      </x:c>
      <x:c r="C2" s="20" t="n">
        <x:v>4999.99</x:v>
      </x:c>
      <x:c r="D2" t="str">
        <x:v>Procurement Manager</x:v>
      </x:c>
      <x:c r="E2" t="str">
        <x:v>No</x:v>
      </x:c>
      <x:c r="F2" t="str">
        <x:v>Single approver; cannot approve own request</x:v>
      </x:c>
    </x:row>
    <x:row r="3">
      <x:c r="A3" t="str">
        <x:v>AP-02</x:v>
      </x:c>
      <x:c r="B3" s="20" t="n">
        <x:v>5000</x:v>
      </x:c>
      <x:c r="C3" s="20" t="n">
        <x:v>14999.99</x:v>
      </x:c>
      <x:c r="D3" t="str">
        <x:v>Operations Manager</x:v>
      </x:c>
      <x:c r="E3" t="str">
        <x:v>No</x:v>
      </x:c>
      <x:c r="F3" t="str">
        <x:v>Approval before commitment or PO release</x:v>
      </x:c>
    </x:row>
    <x:row r="4">
      <x:c r="A4" t="str">
        <x:v>AP-03</x:v>
      </x:c>
      <x:c r="B4" s="20" t="n">
        <x:v>15000</x:v>
      </x:c>
      <x:c r="C4" s="20" t="n">
        <x:v>49999.99</x:v>
      </x:c>
      <x:c r="D4" t="str">
        <x:v>Finance Manager</x:v>
      </x:c>
      <x:c r="E4" t="str">
        <x:v>Yes</x:v>
      </x:c>
      <x:c r="F4" t="str">
        <x:v>Additional Director approval required</x:v>
      </x:c>
    </x:row>
    <x:row r="5">
      <x:c r="A5" t="str">
        <x:v>AP-04</x:v>
      </x:c>
      <x:c r="B5" s="20" t="n">
        <x:v>50000</x:v>
      </x:c>
      <x:c r="C5" s="20" t="n">
        <x:v>999999999</x:v>
      </x:c>
      <x:c r="D5" t="str">
        <x:v>Director</x:v>
      </x:c>
      <x:c r="E5" t="str">
        <x:v>Yes</x:v>
      </x:c>
      <x:c r="F5" t="str">
        <x:v>Additional Finance approval required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0" hidden="0" customWidth="1"/>
    <x:col min="4" max="4" width="25" hidden="0" customWidth="1"/>
    <x:col min="5" max="5" width="18" hidden="0" customWidth="1"/>
    <x:col min="6" max="6" width="23" hidden="0" customWidth="1"/>
    <x:col min="7" max="7" width="23" hidden="0" customWidth="1"/>
    <x:col min="8" max="8" width="18" hidden="0" customWidth="1"/>
    <x:col min="9" max="9" width="18" hidden="0" customWidth="1"/>
    <x:col min="10" max="10" width="24" hidden="0" customWidth="1"/>
    <x:col min="11" max="11" width="21" hidden="0" customWidth="1"/>
    <x:col min="12" max="12" width="18" hidden="0" customWidth="1"/>
    <x:col min="13" max="13" width="20" hidden="0" customWidth="1"/>
    <x:col min="14" max="14" width="33" hidden="0" customWidth="1"/>
    <x:col min="15" max="15" width="42" hidden="0" customWidth="1"/>
    <x:col min="16" max="16" width="20" hidden="0" customWidth="1"/>
  </x:cols>
  <x:sheetData>
    <x:row r="1" ht="32" customHeight="1">
      <x:c r="A1" s="19" t="str">
        <x:v>Approval ID</x:v>
      </x:c>
      <x:c r="B1" s="19" t="str">
        <x:v>PO ID</x:v>
      </x:c>
      <x:c r="C1" s="19" t="str">
        <x:v>PO Amount USD</x:v>
      </x:c>
      <x:c r="D1" s="19" t="str">
        <x:v>Required Role</x:v>
      </x:c>
      <x:c r="E1" s="19" t="str">
        <x:v>Second Approval?</x:v>
      </x:c>
      <x:c r="F1" s="19" t="str">
        <x:v>Requestor</x:v>
      </x:c>
      <x:c r="G1" s="19" t="str">
        <x:v>Approver</x:v>
      </x:c>
      <x:c r="H1" s="19" t="str">
        <x:v>Decision</x:v>
      </x:c>
      <x:c r="I1" s="19" t="str">
        <x:v>Decision Date</x:v>
      </x:c>
      <x:c r="J1" s="19" t="str">
        <x:v>Secondary Approver</x:v>
      </x:c>
      <x:c r="K1" s="19" t="str">
        <x:v>Secondary Decision</x:v>
      </x:c>
      <x:c r="L1" s="19" t="str">
        <x:v>Secondary Date</x:v>
      </x:c>
      <x:c r="M1" s="19" t="str">
        <x:v>Release Gate</x:v>
      </x:c>
      <x:c r="N1" s="19" t="str">
        <x:v>Evidence / Reference</x:v>
      </x:c>
      <x:c r="O1" s="19" t="str">
        <x:v>Exception / Notes</x:v>
      </x:c>
      <x:c r="P1" s="19" t="str">
        <x:v>PO Link Check</x:v>
      </x:c>
    </x:row>
    <x:row r="2">
      <x:c r="A2" t="str">
        <x:v>APR-001</x:v>
      </x:c>
      <x:c r="B2" t="str">
        <x:v>PO-26001</x:v>
      </x:c>
      <x:c r="C2" s="20" t="n">
        <x:f>IF(B2="","",IFERROR(INDEX('PO MASTER'!$L$4:$L$103,MATCH(B2,'PO MASTER'!$A$4:$A$103,0)),0))</x:f>
        <x:v>12800</x:v>
      </x:c>
      <x:c r="D2" t="str">
        <x:f>IF(C2="","",IFERROR(INDEX('APPROVAL POLICY'!$D$2:$D$5,MATCH(C2,'APPROVAL POLICY'!$B$2:$B$5,1)),"CHECK POLICY"))</x:f>
        <x:v>Operations Manager</x:v>
      </x:c>
      <x:c r="E2" t="str">
        <x:f>IF(C2="","",IFERROR(INDEX('APPROVAL POLICY'!$E$2:$E$5,MATCH(C2,'APPROVAL POLICY'!$B$2:$B$5,1)),"CHECK POLICY"))</x:f>
        <x:v>No</x:v>
      </x:c>
      <x:c r="F2" t="str">
        <x:v>Procurement Requestor</x:v>
      </x:c>
      <x:c r="I2" s="12"/>
      <x:c r="L2" s="12"/>
      <x:c r="M2" t="str">
        <x:f>IF(B2="","",IF(P2&lt;&gt;"VALID","BLOCKED - INVALID PO",IF(OR(G2="",H2&lt;&gt;"Approved",I2="",G2=F2),"HOLD",IF(E2="Yes",IF(AND(J2&lt;&gt;"",K2="Approved",L2&lt;&gt;"",J2&lt;&gt;G2,J2&lt;&gt;F2),"RELEASE ELIGIBLE","HOLD"),"RELEASE ELIGIBLE"))))</x:f>
        <x:v>HOLD</x:v>
      </x:c>
      <x:c r="P2" t="str">
        <x:f>IF(B2="","",IF(COUNTIF('PO MASTER'!$A$4:$A$103,B2)=1,"VALID","INVALID PO ID"))</x:f>
        <x:v>VALID</x:v>
      </x:c>
    </x:row>
    <x:row r="3">
      <x:c r="A3" t="str">
        <x:v>APR-002</x:v>
      </x:c>
      <x:c r="B3" t="str">
        <x:v>PO-26002</x:v>
      </x:c>
      <x:c r="C3" s="20" t="n">
        <x:f>IF(B3="","",IFERROR(INDEX('PO MASTER'!$L$4:$L$103,MATCH(B3,'PO MASTER'!$A$4:$A$103,0)),0))</x:f>
        <x:v>8700</x:v>
      </x:c>
      <x:c r="D3" t="str">
        <x:f>IF(C3="","",IFERROR(INDEX('APPROVAL POLICY'!$D$2:$D$5,MATCH(C3,'APPROVAL POLICY'!$B$2:$B$5,1)),"CHECK POLICY"))</x:f>
        <x:v>Operations Manager</x:v>
      </x:c>
      <x:c r="E3" t="str">
        <x:f>IF(C3="","",IFERROR(INDEX('APPROVAL POLICY'!$E$2:$E$5,MATCH(C3,'APPROVAL POLICY'!$B$2:$B$5,1)),"CHECK POLICY"))</x:f>
        <x:v>No</x:v>
      </x:c>
      <x:c r="F3" t="str">
        <x:v>Procurement Requestor</x:v>
      </x:c>
      <x:c r="I3" s="12"/>
      <x:c r="L3" s="12"/>
      <x:c r="M3" t="str">
        <x:f>IF(B3="","",IF(P3&lt;&gt;"VALID","BLOCKED - INVALID PO",IF(OR(G3="",H3&lt;&gt;"Approved",I3="",G3=F3),"HOLD",IF(E3="Yes",IF(AND(J3&lt;&gt;"",K3="Approved",L3&lt;&gt;"",J3&lt;&gt;G3,J3&lt;&gt;F3),"RELEASE ELIGIBLE","HOLD"),"RELEASE ELIGIBLE"))))</x:f>
        <x:v>HOLD</x:v>
      </x:c>
      <x:c r="P3" t="str">
        <x:f>IF(B3="","",IF(COUNTIF('PO MASTER'!$A$4:$A$103,B3)=1,"VALID","INVALID PO ID"))</x:f>
        <x:v>VALID</x:v>
      </x:c>
    </x:row>
    <x:row r="4">
      <x:c r="A4" t="str">
        <x:v>APR-003</x:v>
      </x:c>
      <x:c r="B4" t="str">
        <x:v>PO-26003</x:v>
      </x:c>
      <x:c r="C4" s="20" t="n">
        <x:f>IF(B4="","",IFERROR(INDEX('PO MASTER'!$L$4:$L$103,MATCH(B4,'PO MASTER'!$A$4:$A$103,0)),0))</x:f>
        <x:v>9000</x:v>
      </x:c>
      <x:c r="D4" t="str">
        <x:f>IF(C4="","",IFERROR(INDEX('APPROVAL POLICY'!$D$2:$D$5,MATCH(C4,'APPROVAL POLICY'!$B$2:$B$5,1)),"CHECK POLICY"))</x:f>
        <x:v>Operations Manager</x:v>
      </x:c>
      <x:c r="E4" t="str">
        <x:f>IF(C4="","",IFERROR(INDEX('APPROVAL POLICY'!$E$2:$E$5,MATCH(C4,'APPROVAL POLICY'!$B$2:$B$5,1)),"CHECK POLICY"))</x:f>
        <x:v>No</x:v>
      </x:c>
      <x:c r="F4" t="str">
        <x:v>Procurement Requestor</x:v>
      </x:c>
      <x:c r="I4" s="12"/>
      <x:c r="L4" s="12"/>
      <x:c r="M4" t="str">
        <x:f>IF(B4="","",IF(P4&lt;&gt;"VALID","BLOCKED - INVALID PO",IF(OR(G4="",H4&lt;&gt;"Approved",I4="",G4=F4),"HOLD",IF(E4="Yes",IF(AND(J4&lt;&gt;"",K4="Approved",L4&lt;&gt;"",J4&lt;&gt;G4,J4&lt;&gt;F4),"RELEASE ELIGIBLE","HOLD"),"RELEASE ELIGIBLE"))))</x:f>
        <x:v>HOLD</x:v>
      </x:c>
      <x:c r="P4" t="str">
        <x:f>IF(B4="","",IF(COUNTIF('PO MASTER'!$A$4:$A$103,B4)=1,"VALID","INVALID PO ID"))</x:f>
        <x:v>VALID</x:v>
      </x:c>
    </x:row>
    <x:row r="5">
      <x:c r="A5" t="str">
        <x:v>APR-004</x:v>
      </x:c>
      <x:c r="B5" t="str">
        <x:v>PO-26004</x:v>
      </x:c>
      <x:c r="C5" s="20" t="n">
        <x:f>IF(B5="","",IFERROR(INDEX('PO MASTER'!$L$4:$L$103,MATCH(B5,'PO MASTER'!$A$4:$A$103,0)),0))</x:f>
        <x:v>3520</x:v>
      </x:c>
      <x:c r="D5" t="str">
        <x:f>IF(C5="","",IFERROR(INDEX('APPROVAL POLICY'!$D$2:$D$5,MATCH(C5,'APPROVAL POLICY'!$B$2:$B$5,1)),"CHECK POLICY"))</x:f>
        <x:v>Procurement Manager</x:v>
      </x:c>
      <x:c r="E5" t="str">
        <x:f>IF(C5="","",IFERROR(INDEX('APPROVAL POLICY'!$E$2:$E$5,MATCH(C5,'APPROVAL POLICY'!$B$2:$B$5,1)),"CHECK POLICY"))</x:f>
        <x:v>No</x:v>
      </x:c>
      <x:c r="F5" t="str">
        <x:v>Procurement Requestor</x:v>
      </x:c>
      <x:c r="I5" s="12"/>
      <x:c r="L5" s="12"/>
      <x:c r="M5" t="str">
        <x:f>IF(B5="","",IF(P5&lt;&gt;"VALID","BLOCKED - INVALID PO",IF(OR(G5="",H5&lt;&gt;"Approved",I5="",G5=F5),"HOLD",IF(E5="Yes",IF(AND(J5&lt;&gt;"",K5="Approved",L5&lt;&gt;"",J5&lt;&gt;G5,J5&lt;&gt;F5),"RELEASE ELIGIBLE","HOLD"),"RELEASE ELIGIBLE"))))</x:f>
        <x:v>HOLD</x:v>
      </x:c>
      <x:c r="P5" t="str">
        <x:f>IF(B5="","",IF(COUNTIF('PO MASTER'!$A$4:$A$103,B5)=1,"VALID","INVALID PO ID"))</x:f>
        <x:v>VALID</x:v>
      </x:c>
    </x:row>
    <x:row r="6">
      <x:c r="A6" t="str">
        <x:v>APR-005</x:v>
      </x:c>
      <x:c r="B6" t="str">
        <x:v>PO-26005</x:v>
      </x:c>
      <x:c r="C6" s="20" t="n">
        <x:f>IF(B6="","",IFERROR(INDEX('PO MASTER'!$L$4:$L$103,MATCH(B6,'PO MASTER'!$A$4:$A$103,0)),0))</x:f>
        <x:v>2375</x:v>
      </x:c>
      <x:c r="D6" t="str">
        <x:f>IF(C6="","",IFERROR(INDEX('APPROVAL POLICY'!$D$2:$D$5,MATCH(C6,'APPROVAL POLICY'!$B$2:$B$5,1)),"CHECK POLICY"))</x:f>
        <x:v>Procurement Manager</x:v>
      </x:c>
      <x:c r="E6" t="str">
        <x:f>IF(C6="","",IFERROR(INDEX('APPROVAL POLICY'!$E$2:$E$5,MATCH(C6,'APPROVAL POLICY'!$B$2:$B$5,1)),"CHECK POLICY"))</x:f>
        <x:v>No</x:v>
      </x:c>
      <x:c r="F6" t="str">
        <x:v>Procurement Requestor</x:v>
      </x:c>
      <x:c r="I6" s="12"/>
      <x:c r="L6" s="12"/>
      <x:c r="M6" t="str">
        <x:f>IF(B6="","",IF(P6&lt;&gt;"VALID","BLOCKED - INVALID PO",IF(OR(G6="",H6&lt;&gt;"Approved",I6="",G6=F6),"HOLD",IF(E6="Yes",IF(AND(J6&lt;&gt;"",K6="Approved",L6&lt;&gt;"",J6&lt;&gt;G6,J6&lt;&gt;F6),"RELEASE ELIGIBLE","HOLD"),"RELEASE ELIGIBLE"))))</x:f>
        <x:v>HOLD</x:v>
      </x:c>
      <x:c r="P6" t="str">
        <x:f>IF(B6="","",IF(COUNTIF('PO MASTER'!$A$4:$A$103,B6)=1,"VALID","INVALID PO ID"))</x:f>
        <x:v>VALID</x:v>
      </x:c>
    </x:row>
    <x:row r="7">
      <x:c r="A7" t="str">
        <x:v>APR-006</x:v>
      </x:c>
      <x:c r="B7" t="str">
        <x:v>PO-26006</x:v>
      </x:c>
      <x:c r="C7" s="20" t="n">
        <x:f>IF(B7="","",IFERROR(INDEX('PO MASTER'!$L$4:$L$103,MATCH(B7,'PO MASTER'!$A$4:$A$103,0)),0))</x:f>
        <x:v>9300</x:v>
      </x:c>
      <x:c r="D7" t="str">
        <x:f>IF(C7="","",IFERROR(INDEX('APPROVAL POLICY'!$D$2:$D$5,MATCH(C7,'APPROVAL POLICY'!$B$2:$B$5,1)),"CHECK POLICY"))</x:f>
        <x:v>Operations Manager</x:v>
      </x:c>
      <x:c r="E7" t="str">
        <x:f>IF(C7="","",IFERROR(INDEX('APPROVAL POLICY'!$E$2:$E$5,MATCH(C7,'APPROVAL POLICY'!$B$2:$B$5,1)),"CHECK POLICY"))</x:f>
        <x:v>No</x:v>
      </x:c>
      <x:c r="F7" t="str">
        <x:v>Procurement Requestor</x:v>
      </x:c>
      <x:c r="I7" s="12"/>
      <x:c r="L7" s="12"/>
      <x:c r="M7" t="str">
        <x:f>IF(B7="","",IF(P7&lt;&gt;"VALID","BLOCKED - INVALID PO",IF(OR(G7="",H7&lt;&gt;"Approved",I7="",G7=F7),"HOLD",IF(E7="Yes",IF(AND(J7&lt;&gt;"",K7="Approved",L7&lt;&gt;"",J7&lt;&gt;G7,J7&lt;&gt;F7),"RELEASE ELIGIBLE","HOLD"),"RELEASE ELIGIBLE"))))</x:f>
        <x:v>HOLD</x:v>
      </x:c>
      <x:c r="P7" t="str">
        <x:f>IF(B7="","",IF(COUNTIF('PO MASTER'!$A$4:$A$103,B7)=1,"VALID","INVALID PO ID"))</x:f>
        <x:v>VALID</x:v>
      </x:c>
    </x:row>
    <x:row r="8">
      <x:c r="A8" t="str">
        <x:v>APR-007</x:v>
      </x:c>
      <x:c r="B8" t="str">
        <x:v>PO-26007</x:v>
      </x:c>
      <x:c r="C8" s="20" t="n">
        <x:f>IF(B8="","",IFERROR(INDEX('PO MASTER'!$L$4:$L$103,MATCH(B8,'PO MASTER'!$A$4:$A$103,0)),0))</x:f>
        <x:v>2800</x:v>
      </x:c>
      <x:c r="D8" t="str">
        <x:f>IF(C8="","",IFERROR(INDEX('APPROVAL POLICY'!$D$2:$D$5,MATCH(C8,'APPROVAL POLICY'!$B$2:$B$5,1)),"CHECK POLICY"))</x:f>
        <x:v>Procurement Manager</x:v>
      </x:c>
      <x:c r="E8" t="str">
        <x:f>IF(C8="","",IFERROR(INDEX('APPROVAL POLICY'!$E$2:$E$5,MATCH(C8,'APPROVAL POLICY'!$B$2:$B$5,1)),"CHECK POLICY"))</x:f>
        <x:v>No</x:v>
      </x:c>
      <x:c r="F8" t="str">
        <x:v>Procurement Requestor</x:v>
      </x:c>
      <x:c r="I8" s="12"/>
      <x:c r="L8" s="12"/>
      <x:c r="M8" t="str">
        <x:f>IF(B8="","",IF(P8&lt;&gt;"VALID","BLOCKED - INVALID PO",IF(OR(G8="",H8&lt;&gt;"Approved",I8="",G8=F8),"HOLD",IF(E8="Yes",IF(AND(J8&lt;&gt;"",K8="Approved",L8&lt;&gt;"",J8&lt;&gt;G8,J8&lt;&gt;F8),"RELEASE ELIGIBLE","HOLD"),"RELEASE ELIGIBLE"))))</x:f>
        <x:v>HOLD</x:v>
      </x:c>
      <x:c r="P8" t="str">
        <x:f>IF(B8="","",IF(COUNTIF('PO MASTER'!$A$4:$A$103,B8)=1,"VALID","INVALID PO ID"))</x:f>
        <x:v>VALID</x:v>
      </x:c>
    </x:row>
    <x:row r="9">
      <x:c r="A9" t="str">
        <x:v>APR-008</x:v>
      </x:c>
      <x:c r="B9" t="str">
        <x:v>PO-26008</x:v>
      </x:c>
      <x:c r="C9" s="20" t="n">
        <x:f>IF(B9="","",IFERROR(INDEX('PO MASTER'!$L$4:$L$103,MATCH(B9,'PO MASTER'!$A$4:$A$103,0)),0))</x:f>
        <x:v>4920</x:v>
      </x:c>
      <x:c r="D9" t="str">
        <x:f>IF(C9="","",IFERROR(INDEX('APPROVAL POLICY'!$D$2:$D$5,MATCH(C9,'APPROVAL POLICY'!$B$2:$B$5,1)),"CHECK POLICY"))</x:f>
        <x:v>Procurement Manager</x:v>
      </x:c>
      <x:c r="E9" t="str">
        <x:f>IF(C9="","",IFERROR(INDEX('APPROVAL POLICY'!$E$2:$E$5,MATCH(C9,'APPROVAL POLICY'!$B$2:$B$5,1)),"CHECK POLICY"))</x:f>
        <x:v>No</x:v>
      </x:c>
      <x:c r="F9" t="str">
        <x:v>Procurement Requestor</x:v>
      </x:c>
      <x:c r="I9" s="12"/>
      <x:c r="L9" s="12"/>
      <x:c r="M9" t="str">
        <x:f>IF(B9="","",IF(P9&lt;&gt;"VALID","BLOCKED - INVALID PO",IF(OR(G9="",H9&lt;&gt;"Approved",I9="",G9=F9),"HOLD",IF(E9="Yes",IF(AND(J9&lt;&gt;"",K9="Approved",L9&lt;&gt;"",J9&lt;&gt;G9,J9&lt;&gt;F9),"RELEASE ELIGIBLE","HOLD"),"RELEASE ELIGIBLE"))))</x:f>
        <x:v>HOLD</x:v>
      </x:c>
      <x:c r="P9" t="str">
        <x:f>IF(B9="","",IF(COUNTIF('PO MASTER'!$A$4:$A$103,B9)=1,"VALID","INVALID PO ID"))</x:f>
        <x:v>VALID</x:v>
      </x:c>
    </x:row>
    <x:row r="10">
      <x:c r="A10" t="str">
        <x:v>APR-009</x:v>
      </x:c>
      <x:c r="B10" t="str">
        <x:v>PO-26009</x:v>
      </x:c>
      <x:c r="C10" s="20" t="n">
        <x:f>IF(B10="","",IFERROR(INDEX('PO MASTER'!$L$4:$L$103,MATCH(B10,'PO MASTER'!$A$4:$A$103,0)),0))</x:f>
        <x:v>5440</x:v>
      </x:c>
      <x:c r="D10" t="str">
        <x:f>IF(C10="","",IFERROR(INDEX('APPROVAL POLICY'!$D$2:$D$5,MATCH(C10,'APPROVAL POLICY'!$B$2:$B$5,1)),"CHECK POLICY"))</x:f>
        <x:v>Operations Manager</x:v>
      </x:c>
      <x:c r="E10" t="str">
        <x:f>IF(C10="","",IFERROR(INDEX('APPROVAL POLICY'!$E$2:$E$5,MATCH(C10,'APPROVAL POLICY'!$B$2:$B$5,1)),"CHECK POLICY"))</x:f>
        <x:v>No</x:v>
      </x:c>
      <x:c r="F10" t="str">
        <x:v>Procurement Requestor</x:v>
      </x:c>
      <x:c r="I10" s="12"/>
      <x:c r="L10" s="12"/>
      <x:c r="M10" t="str">
        <x:f>IF(B10="","",IF(P10&lt;&gt;"VALID","BLOCKED - INVALID PO",IF(OR(G10="",H10&lt;&gt;"Approved",I10="",G10=F10),"HOLD",IF(E10="Yes",IF(AND(J10&lt;&gt;"",K10="Approved",L10&lt;&gt;"",J10&lt;&gt;G10,J10&lt;&gt;F10),"RELEASE ELIGIBLE","HOLD"),"RELEASE ELIGIBLE"))))</x:f>
        <x:v>HOLD</x:v>
      </x:c>
      <x:c r="P10" t="str">
        <x:f>IF(B10="","",IF(COUNTIF('PO MASTER'!$A$4:$A$103,B10)=1,"VALID","INVALID PO ID"))</x:f>
        <x:v>VALID</x:v>
      </x:c>
    </x:row>
    <x:row r="11">
      <x:c r="A11" t="str">
        <x:v>APR-010</x:v>
      </x:c>
      <x:c r="B11" t="str">
        <x:v>PO-26010</x:v>
      </x:c>
      <x:c r="C11" s="20" t="n">
        <x:f>IF(B11="","",IFERROR(INDEX('PO MASTER'!$L$4:$L$103,MATCH(B11,'PO MASTER'!$A$4:$A$103,0)),0))</x:f>
        <x:v>10560</x:v>
      </x:c>
      <x:c r="D11" t="str">
        <x:f>IF(C11="","",IFERROR(INDEX('APPROVAL POLICY'!$D$2:$D$5,MATCH(C11,'APPROVAL POLICY'!$B$2:$B$5,1)),"CHECK POLICY"))</x:f>
        <x:v>Operations Manager</x:v>
      </x:c>
      <x:c r="E11" t="str">
        <x:f>IF(C11="","",IFERROR(INDEX('APPROVAL POLICY'!$E$2:$E$5,MATCH(C11,'APPROVAL POLICY'!$B$2:$B$5,1)),"CHECK POLICY"))</x:f>
        <x:v>No</x:v>
      </x:c>
      <x:c r="F11" t="str">
        <x:v>Procurement Requestor</x:v>
      </x:c>
      <x:c r="I11" s="12"/>
      <x:c r="L11" s="12"/>
      <x:c r="M11" t="str">
        <x:f>IF(B11="","",IF(P11&lt;&gt;"VALID","BLOCKED - INVALID PO",IF(OR(G11="",H11&lt;&gt;"Approved",I11="",G11=F11),"HOLD",IF(E11="Yes",IF(AND(J11&lt;&gt;"",K11="Approved",L11&lt;&gt;"",J11&lt;&gt;G11,J11&lt;&gt;F11),"RELEASE ELIGIBLE","HOLD"),"RELEASE ELIGIBLE"))))</x:f>
        <x:v>HOLD</x:v>
      </x:c>
      <x:c r="P11" t="str">
        <x:f>IF(B11="","",IF(COUNTIF('PO MASTER'!$A$4:$A$103,B11)=1,"VALID","INVALID PO ID"))</x:f>
        <x:v>VALID</x:v>
      </x:c>
    </x:row>
    <x:row r="12">
      <x:c r="C12" s="20" t="str">
        <x:f>IF(B12="","",IFERROR(INDEX('PO MASTER'!$L$4:$L$103,MATCH(B12,'PO MASTER'!$A$4:$A$103,0)),0))</x:f>
      </x:c>
      <x:c r="D12" t="str">
        <x:f>IF(C12="","",IFERROR(INDEX('APPROVAL POLICY'!$D$2:$D$5,MATCH(C12,'APPROVAL POLICY'!$B$2:$B$5,1)),"CHECK POLICY"))</x:f>
      </x:c>
      <x:c r="E12" t="str">
        <x:f>IF(C12="","",IFERROR(INDEX('APPROVAL POLICY'!$E$2:$E$5,MATCH(C12,'APPROVAL POLICY'!$B$2:$B$5,1)),"CHECK POLICY"))</x:f>
      </x:c>
      <x:c r="I12" s="12"/>
      <x:c r="L12" s="12"/>
      <x:c r="M12" t="str">
        <x:f>IF(B12="","",IF(P12&lt;&gt;"VALID","BLOCKED - INVALID PO",IF(OR(G12="",H12&lt;&gt;"Approved",I12="",G12=F12),"HOLD",IF(E12="Yes",IF(AND(J12&lt;&gt;"",K12="Approved",L12&lt;&gt;"",J12&lt;&gt;G12,J12&lt;&gt;F12),"RELEASE ELIGIBLE","HOLD"),"RELEASE ELIGIBLE"))))</x:f>
      </x:c>
      <x:c r="P12" t="str">
        <x:f>IF(B12="","",IF(COUNTIF('PO MASTER'!$A$4:$A$103,B12)=1,"VALID","INVALID PO ID"))</x:f>
      </x:c>
    </x:row>
    <x:row r="13">
      <x:c r="C13" s="20" t="str">
        <x:f>IF(B13="","",IFERROR(INDEX('PO MASTER'!$L$4:$L$103,MATCH(B13,'PO MASTER'!$A$4:$A$103,0)),0))</x:f>
      </x:c>
      <x:c r="D13" t="str">
        <x:f>IF(C13="","",IFERROR(INDEX('APPROVAL POLICY'!$D$2:$D$5,MATCH(C13,'APPROVAL POLICY'!$B$2:$B$5,1)),"CHECK POLICY"))</x:f>
      </x:c>
      <x:c r="E13" t="str">
        <x:f>IF(C13="","",IFERROR(INDEX('APPROVAL POLICY'!$E$2:$E$5,MATCH(C13,'APPROVAL POLICY'!$B$2:$B$5,1)),"CHECK POLICY"))</x:f>
      </x:c>
      <x:c r="I13" s="12"/>
      <x:c r="L13" s="12"/>
      <x:c r="M13" t="str">
        <x:f>IF(B13="","",IF(P13&lt;&gt;"VALID","BLOCKED - INVALID PO",IF(OR(G13="",H13&lt;&gt;"Approved",I13="",G13=F13),"HOLD",IF(E13="Yes",IF(AND(J13&lt;&gt;"",K13="Approved",L13&lt;&gt;"",J13&lt;&gt;G13,J13&lt;&gt;F13),"RELEASE ELIGIBLE","HOLD"),"RELEASE ELIGIBLE"))))</x:f>
      </x:c>
      <x:c r="P13" t="str">
        <x:f>IF(B13="","",IF(COUNTIF('PO MASTER'!$A$4:$A$103,B13)=1,"VALID","INVALID PO ID"))</x:f>
      </x:c>
    </x:row>
    <x:row r="14">
      <x:c r="C14" s="20" t="str">
        <x:f>IF(B14="","",IFERROR(INDEX('PO MASTER'!$L$4:$L$103,MATCH(B14,'PO MASTER'!$A$4:$A$103,0)),0))</x:f>
      </x:c>
      <x:c r="D14" t="str">
        <x:f>IF(C14="","",IFERROR(INDEX('APPROVAL POLICY'!$D$2:$D$5,MATCH(C14,'APPROVAL POLICY'!$B$2:$B$5,1)),"CHECK POLICY"))</x:f>
      </x:c>
      <x:c r="E14" t="str">
        <x:f>IF(C14="","",IFERROR(INDEX('APPROVAL POLICY'!$E$2:$E$5,MATCH(C14,'APPROVAL POLICY'!$B$2:$B$5,1)),"CHECK POLICY"))</x:f>
      </x:c>
      <x:c r="I14" s="12"/>
      <x:c r="L14" s="12"/>
      <x:c r="M14" t="str">
        <x:f>IF(B14="","",IF(P14&lt;&gt;"VALID","BLOCKED - INVALID PO",IF(OR(G14="",H14&lt;&gt;"Approved",I14="",G14=F14),"HOLD",IF(E14="Yes",IF(AND(J14&lt;&gt;"",K14="Approved",L14&lt;&gt;"",J14&lt;&gt;G14,J14&lt;&gt;F14),"RELEASE ELIGIBLE","HOLD"),"RELEASE ELIGIBLE"))))</x:f>
      </x:c>
      <x:c r="P14" t="str">
        <x:f>IF(B14="","",IF(COUNTIF('PO MASTER'!$A$4:$A$103,B14)=1,"VALID","INVALID PO ID"))</x:f>
      </x:c>
    </x:row>
    <x:row r="15">
      <x:c r="C15" s="20" t="str">
        <x:f>IF(B15="","",IFERROR(INDEX('PO MASTER'!$L$4:$L$103,MATCH(B15,'PO MASTER'!$A$4:$A$103,0)),0))</x:f>
      </x:c>
      <x:c r="D15" t="str">
        <x:f>IF(C15="","",IFERROR(INDEX('APPROVAL POLICY'!$D$2:$D$5,MATCH(C15,'APPROVAL POLICY'!$B$2:$B$5,1)),"CHECK POLICY"))</x:f>
      </x:c>
      <x:c r="E15" t="str">
        <x:f>IF(C15="","",IFERROR(INDEX('APPROVAL POLICY'!$E$2:$E$5,MATCH(C15,'APPROVAL POLICY'!$B$2:$B$5,1)),"CHECK POLICY"))</x:f>
      </x:c>
      <x:c r="I15" s="12"/>
      <x:c r="L15" s="12"/>
      <x:c r="M15" t="str">
        <x:f>IF(B15="","",IF(P15&lt;&gt;"VALID","BLOCKED - INVALID PO",IF(OR(G15="",H15&lt;&gt;"Approved",I15="",G15=F15),"HOLD",IF(E15="Yes",IF(AND(J15&lt;&gt;"",K15="Approved",L15&lt;&gt;"",J15&lt;&gt;G15,J15&lt;&gt;F15),"RELEASE ELIGIBLE","HOLD"),"RELEASE ELIGIBLE"))))</x:f>
      </x:c>
      <x:c r="P15" t="str">
        <x:f>IF(B15="","",IF(COUNTIF('PO MASTER'!$A$4:$A$103,B15)=1,"VALID","INVALID PO ID"))</x:f>
      </x:c>
    </x:row>
    <x:row r="16">
      <x:c r="C16" s="20" t="str">
        <x:f>IF(B16="","",IFERROR(INDEX('PO MASTER'!$L$4:$L$103,MATCH(B16,'PO MASTER'!$A$4:$A$103,0)),0))</x:f>
      </x:c>
      <x:c r="D16" t="str">
        <x:f>IF(C16="","",IFERROR(INDEX('APPROVAL POLICY'!$D$2:$D$5,MATCH(C16,'APPROVAL POLICY'!$B$2:$B$5,1)),"CHECK POLICY"))</x:f>
      </x:c>
      <x:c r="E16" t="str">
        <x:f>IF(C16="","",IFERROR(INDEX('APPROVAL POLICY'!$E$2:$E$5,MATCH(C16,'APPROVAL POLICY'!$B$2:$B$5,1)),"CHECK POLICY"))</x:f>
      </x:c>
      <x:c r="I16" s="12"/>
      <x:c r="L16" s="12"/>
      <x:c r="M16" t="str">
        <x:f>IF(B16="","",IF(P16&lt;&gt;"VALID","BLOCKED - INVALID PO",IF(OR(G16="",H16&lt;&gt;"Approved",I16="",G16=F16),"HOLD",IF(E16="Yes",IF(AND(J16&lt;&gt;"",K16="Approved",L16&lt;&gt;"",J16&lt;&gt;G16,J16&lt;&gt;F16),"RELEASE ELIGIBLE","HOLD"),"RELEASE ELIGIBLE"))))</x:f>
      </x:c>
      <x:c r="P16" t="str">
        <x:f>IF(B16="","",IF(COUNTIF('PO MASTER'!$A$4:$A$103,B16)=1,"VALID","INVALID PO ID"))</x:f>
      </x:c>
    </x:row>
    <x:row r="17">
      <x:c r="C17" s="20" t="str">
        <x:f>IF(B17="","",IFERROR(INDEX('PO MASTER'!$L$4:$L$103,MATCH(B17,'PO MASTER'!$A$4:$A$103,0)),0))</x:f>
      </x:c>
      <x:c r="D17" t="str">
        <x:f>IF(C17="","",IFERROR(INDEX('APPROVAL POLICY'!$D$2:$D$5,MATCH(C17,'APPROVAL POLICY'!$B$2:$B$5,1)),"CHECK POLICY"))</x:f>
      </x:c>
      <x:c r="E17" t="str">
        <x:f>IF(C17="","",IFERROR(INDEX('APPROVAL POLICY'!$E$2:$E$5,MATCH(C17,'APPROVAL POLICY'!$B$2:$B$5,1)),"CHECK POLICY"))</x:f>
      </x:c>
      <x:c r="I17" s="12"/>
      <x:c r="L17" s="12"/>
      <x:c r="M17" t="str">
        <x:f>IF(B17="","",IF(P17&lt;&gt;"VALID","BLOCKED - INVALID PO",IF(OR(G17="",H17&lt;&gt;"Approved",I17="",G17=F17),"HOLD",IF(E17="Yes",IF(AND(J17&lt;&gt;"",K17="Approved",L17&lt;&gt;"",J17&lt;&gt;G17,J17&lt;&gt;F17),"RELEASE ELIGIBLE","HOLD"),"RELEASE ELIGIBLE"))))</x:f>
      </x:c>
      <x:c r="P17" t="str">
        <x:f>IF(B17="","",IF(COUNTIF('PO MASTER'!$A$4:$A$103,B17)=1,"VALID","INVALID PO ID"))</x:f>
      </x:c>
    </x:row>
    <x:row r="18">
      <x:c r="C18" s="20" t="str">
        <x:f>IF(B18="","",IFERROR(INDEX('PO MASTER'!$L$4:$L$103,MATCH(B18,'PO MASTER'!$A$4:$A$103,0)),0))</x:f>
      </x:c>
      <x:c r="D18" t="str">
        <x:f>IF(C18="","",IFERROR(INDEX('APPROVAL POLICY'!$D$2:$D$5,MATCH(C18,'APPROVAL POLICY'!$B$2:$B$5,1)),"CHECK POLICY"))</x:f>
      </x:c>
      <x:c r="E18" t="str">
        <x:f>IF(C18="","",IFERROR(INDEX('APPROVAL POLICY'!$E$2:$E$5,MATCH(C18,'APPROVAL POLICY'!$B$2:$B$5,1)),"CHECK POLICY"))</x:f>
      </x:c>
      <x:c r="I18" s="12"/>
      <x:c r="L18" s="12"/>
      <x:c r="M18" t="str">
        <x:f>IF(B18="","",IF(P18&lt;&gt;"VALID","BLOCKED - INVALID PO",IF(OR(G18="",H18&lt;&gt;"Approved",I18="",G18=F18),"HOLD",IF(E18="Yes",IF(AND(J18&lt;&gt;"",K18="Approved",L18&lt;&gt;"",J18&lt;&gt;G18,J18&lt;&gt;F18),"RELEASE ELIGIBLE","HOLD"),"RELEASE ELIGIBLE"))))</x:f>
      </x:c>
      <x:c r="P18" t="str">
        <x:f>IF(B18="","",IF(COUNTIF('PO MASTER'!$A$4:$A$103,B18)=1,"VALID","INVALID PO ID"))</x:f>
      </x:c>
    </x:row>
    <x:row r="19">
      <x:c r="C19" s="20" t="str">
        <x:f>IF(B19="","",IFERROR(INDEX('PO MASTER'!$L$4:$L$103,MATCH(B19,'PO MASTER'!$A$4:$A$103,0)),0))</x:f>
      </x:c>
      <x:c r="D19" t="str">
        <x:f>IF(C19="","",IFERROR(INDEX('APPROVAL POLICY'!$D$2:$D$5,MATCH(C19,'APPROVAL POLICY'!$B$2:$B$5,1)),"CHECK POLICY"))</x:f>
      </x:c>
      <x:c r="E19" t="str">
        <x:f>IF(C19="","",IFERROR(INDEX('APPROVAL POLICY'!$E$2:$E$5,MATCH(C19,'APPROVAL POLICY'!$B$2:$B$5,1)),"CHECK POLICY"))</x:f>
      </x:c>
      <x:c r="I19" s="12"/>
      <x:c r="L19" s="12"/>
      <x:c r="M19" t="str">
        <x:f>IF(B19="","",IF(P19&lt;&gt;"VALID","BLOCKED - INVALID PO",IF(OR(G19="",H19&lt;&gt;"Approved",I19="",G19=F19),"HOLD",IF(E19="Yes",IF(AND(J19&lt;&gt;"",K19="Approved",L19&lt;&gt;"",J19&lt;&gt;G19,J19&lt;&gt;F19),"RELEASE ELIGIBLE","HOLD"),"RELEASE ELIGIBLE"))))</x:f>
      </x:c>
      <x:c r="P19" t="str">
        <x:f>IF(B19="","",IF(COUNTIF('PO MASTER'!$A$4:$A$103,B19)=1,"VALID","INVALID PO ID"))</x:f>
      </x:c>
    </x:row>
    <x:row r="20">
      <x:c r="C20" s="20" t="str">
        <x:f>IF(B20="","",IFERROR(INDEX('PO MASTER'!$L$4:$L$103,MATCH(B20,'PO MASTER'!$A$4:$A$103,0)),0))</x:f>
      </x:c>
      <x:c r="D20" t="str">
        <x:f>IF(C20="","",IFERROR(INDEX('APPROVAL POLICY'!$D$2:$D$5,MATCH(C20,'APPROVAL POLICY'!$B$2:$B$5,1)),"CHECK POLICY"))</x:f>
      </x:c>
      <x:c r="E20" t="str">
        <x:f>IF(C20="","",IFERROR(INDEX('APPROVAL POLICY'!$E$2:$E$5,MATCH(C20,'APPROVAL POLICY'!$B$2:$B$5,1)),"CHECK POLICY"))</x:f>
      </x:c>
      <x:c r="I20" s="12"/>
      <x:c r="L20" s="12"/>
      <x:c r="M20" t="str">
        <x:f>IF(B20="","",IF(P20&lt;&gt;"VALID","BLOCKED - INVALID PO",IF(OR(G20="",H20&lt;&gt;"Approved",I20="",G20=F20),"HOLD",IF(E20="Yes",IF(AND(J20&lt;&gt;"",K20="Approved",L20&lt;&gt;"",J20&lt;&gt;G20,J20&lt;&gt;F20),"RELEASE ELIGIBLE","HOLD"),"RELEASE ELIGIBLE"))))</x:f>
      </x:c>
      <x:c r="P20" t="str">
        <x:f>IF(B20="","",IF(COUNTIF('PO MASTER'!$A$4:$A$103,B20)=1,"VALID","INVALID PO ID"))</x:f>
      </x:c>
    </x:row>
    <x:row r="21">
      <x:c r="C21" s="20" t="str">
        <x:f>IF(B21="","",IFERROR(INDEX('PO MASTER'!$L$4:$L$103,MATCH(B21,'PO MASTER'!$A$4:$A$103,0)),0))</x:f>
      </x:c>
      <x:c r="D21" t="str">
        <x:f>IF(C21="","",IFERROR(INDEX('APPROVAL POLICY'!$D$2:$D$5,MATCH(C21,'APPROVAL POLICY'!$B$2:$B$5,1)),"CHECK POLICY"))</x:f>
      </x:c>
      <x:c r="E21" t="str">
        <x:f>IF(C21="","",IFERROR(INDEX('APPROVAL POLICY'!$E$2:$E$5,MATCH(C21,'APPROVAL POLICY'!$B$2:$B$5,1)),"CHECK POLICY"))</x:f>
      </x:c>
      <x:c r="I21" s="12"/>
      <x:c r="L21" s="12"/>
      <x:c r="M21" t="str">
        <x:f>IF(B21="","",IF(P21&lt;&gt;"VALID","BLOCKED - INVALID PO",IF(OR(G21="",H21&lt;&gt;"Approved",I21="",G21=F21),"HOLD",IF(E21="Yes",IF(AND(J21&lt;&gt;"",K21="Approved",L21&lt;&gt;"",J21&lt;&gt;G21,J21&lt;&gt;F21),"RELEASE ELIGIBLE","HOLD"),"RELEASE ELIGIBLE"))))</x:f>
      </x:c>
      <x:c r="P21" t="str">
        <x:f>IF(B21="","",IF(COUNTIF('PO MASTER'!$A$4:$A$103,B21)=1,"VALID","INVALID PO ID"))</x:f>
      </x:c>
    </x:row>
    <x:row r="22">
      <x:c r="C22" s="20" t="str">
        <x:f>IF(B22="","",IFERROR(INDEX('PO MASTER'!$L$4:$L$103,MATCH(B22,'PO MASTER'!$A$4:$A$103,0)),0))</x:f>
      </x:c>
      <x:c r="D22" t="str">
        <x:f>IF(C22="","",IFERROR(INDEX('APPROVAL POLICY'!$D$2:$D$5,MATCH(C22,'APPROVAL POLICY'!$B$2:$B$5,1)),"CHECK POLICY"))</x:f>
      </x:c>
      <x:c r="E22" t="str">
        <x:f>IF(C22="","",IFERROR(INDEX('APPROVAL POLICY'!$E$2:$E$5,MATCH(C22,'APPROVAL POLICY'!$B$2:$B$5,1)),"CHECK POLICY"))</x:f>
      </x:c>
      <x:c r="I22" s="12"/>
      <x:c r="L22" s="12"/>
      <x:c r="M22" t="str">
        <x:f>IF(B22="","",IF(P22&lt;&gt;"VALID","BLOCKED - INVALID PO",IF(OR(G22="",H22&lt;&gt;"Approved",I22="",G22=F22),"HOLD",IF(E22="Yes",IF(AND(J22&lt;&gt;"",K22="Approved",L22&lt;&gt;"",J22&lt;&gt;G22,J22&lt;&gt;F22),"RELEASE ELIGIBLE","HOLD"),"RELEASE ELIGIBLE"))))</x:f>
      </x:c>
      <x:c r="P22" t="str">
        <x:f>IF(B22="","",IF(COUNTIF('PO MASTER'!$A$4:$A$103,B22)=1,"VALID","INVALID PO ID"))</x:f>
      </x:c>
    </x:row>
    <x:row r="23">
      <x:c r="C23" s="20" t="str">
        <x:f>IF(B23="","",IFERROR(INDEX('PO MASTER'!$L$4:$L$103,MATCH(B23,'PO MASTER'!$A$4:$A$103,0)),0))</x:f>
      </x:c>
      <x:c r="D23" t="str">
        <x:f>IF(C23="","",IFERROR(INDEX('APPROVAL POLICY'!$D$2:$D$5,MATCH(C23,'APPROVAL POLICY'!$B$2:$B$5,1)),"CHECK POLICY"))</x:f>
      </x:c>
      <x:c r="E23" t="str">
        <x:f>IF(C23="","",IFERROR(INDEX('APPROVAL POLICY'!$E$2:$E$5,MATCH(C23,'APPROVAL POLICY'!$B$2:$B$5,1)),"CHECK POLICY"))</x:f>
      </x:c>
      <x:c r="I23" s="12"/>
      <x:c r="L23" s="12"/>
      <x:c r="M23" t="str">
        <x:f>IF(B23="","",IF(P23&lt;&gt;"VALID","BLOCKED - INVALID PO",IF(OR(G23="",H23&lt;&gt;"Approved",I23="",G23=F23),"HOLD",IF(E23="Yes",IF(AND(J23&lt;&gt;"",K23="Approved",L23&lt;&gt;"",J23&lt;&gt;G23,J23&lt;&gt;F23),"RELEASE ELIGIBLE","HOLD"),"RELEASE ELIGIBLE"))))</x:f>
      </x:c>
      <x:c r="P23" t="str">
        <x:f>IF(B23="","",IF(COUNTIF('PO MASTER'!$A$4:$A$103,B23)=1,"VALID","INVALID PO ID"))</x:f>
      </x:c>
    </x:row>
    <x:row r="24">
      <x:c r="C24" s="20" t="str">
        <x:f>IF(B24="","",IFERROR(INDEX('PO MASTER'!$L$4:$L$103,MATCH(B24,'PO MASTER'!$A$4:$A$103,0)),0))</x:f>
      </x:c>
      <x:c r="D24" t="str">
        <x:f>IF(C24="","",IFERROR(INDEX('APPROVAL POLICY'!$D$2:$D$5,MATCH(C24,'APPROVAL POLICY'!$B$2:$B$5,1)),"CHECK POLICY"))</x:f>
      </x:c>
      <x:c r="E24" t="str">
        <x:f>IF(C24="","",IFERROR(INDEX('APPROVAL POLICY'!$E$2:$E$5,MATCH(C24,'APPROVAL POLICY'!$B$2:$B$5,1)),"CHECK POLICY"))</x:f>
      </x:c>
      <x:c r="I24" s="12"/>
      <x:c r="L24" s="12"/>
      <x:c r="M24" t="str">
        <x:f>IF(B24="","",IF(P24&lt;&gt;"VALID","BLOCKED - INVALID PO",IF(OR(G24="",H24&lt;&gt;"Approved",I24="",G24=F24),"HOLD",IF(E24="Yes",IF(AND(J24&lt;&gt;"",K24="Approved",L24&lt;&gt;"",J24&lt;&gt;G24,J24&lt;&gt;F24),"RELEASE ELIGIBLE","HOLD"),"RELEASE ELIGIBLE"))))</x:f>
      </x:c>
      <x:c r="P24" t="str">
        <x:f>IF(B24="","",IF(COUNTIF('PO MASTER'!$A$4:$A$103,B24)=1,"VALID","INVALID PO ID"))</x:f>
      </x:c>
    </x:row>
    <x:row r="25">
      <x:c r="C25" s="20" t="str">
        <x:f>IF(B25="","",IFERROR(INDEX('PO MASTER'!$L$4:$L$103,MATCH(B25,'PO MASTER'!$A$4:$A$103,0)),0))</x:f>
      </x:c>
      <x:c r="D25" t="str">
        <x:f>IF(C25="","",IFERROR(INDEX('APPROVAL POLICY'!$D$2:$D$5,MATCH(C25,'APPROVAL POLICY'!$B$2:$B$5,1)),"CHECK POLICY"))</x:f>
      </x:c>
      <x:c r="E25" t="str">
        <x:f>IF(C25="","",IFERROR(INDEX('APPROVAL POLICY'!$E$2:$E$5,MATCH(C25,'APPROVAL POLICY'!$B$2:$B$5,1)),"CHECK POLICY"))</x:f>
      </x:c>
      <x:c r="I25" s="12"/>
      <x:c r="L25" s="12"/>
      <x:c r="M25" t="str">
        <x:f>IF(B25="","",IF(P25&lt;&gt;"VALID","BLOCKED - INVALID PO",IF(OR(G25="",H25&lt;&gt;"Approved",I25="",G25=F25),"HOLD",IF(E25="Yes",IF(AND(J25&lt;&gt;"",K25="Approved",L25&lt;&gt;"",J25&lt;&gt;G25,J25&lt;&gt;F25),"RELEASE ELIGIBLE","HOLD"),"RELEASE ELIGIBLE"))))</x:f>
      </x:c>
      <x:c r="P25" t="str">
        <x:f>IF(B25="","",IF(COUNTIF('PO MASTER'!$A$4:$A$103,B25)=1,"VALID","INVALID PO ID"))</x:f>
      </x:c>
    </x:row>
    <x:row r="26">
      <x:c r="C26" s="20" t="str">
        <x:f>IF(B26="","",IFERROR(INDEX('PO MASTER'!$L$4:$L$103,MATCH(B26,'PO MASTER'!$A$4:$A$103,0)),0))</x:f>
      </x:c>
      <x:c r="D26" t="str">
        <x:f>IF(C26="","",IFERROR(INDEX('APPROVAL POLICY'!$D$2:$D$5,MATCH(C26,'APPROVAL POLICY'!$B$2:$B$5,1)),"CHECK POLICY"))</x:f>
      </x:c>
      <x:c r="E26" t="str">
        <x:f>IF(C26="","",IFERROR(INDEX('APPROVAL POLICY'!$E$2:$E$5,MATCH(C26,'APPROVAL POLICY'!$B$2:$B$5,1)),"CHECK POLICY"))</x:f>
      </x:c>
      <x:c r="I26" s="12"/>
      <x:c r="L26" s="12"/>
      <x:c r="M26" t="str">
        <x:f>IF(B26="","",IF(P26&lt;&gt;"VALID","BLOCKED - INVALID PO",IF(OR(G26="",H26&lt;&gt;"Approved",I26="",G26=F26),"HOLD",IF(E26="Yes",IF(AND(J26&lt;&gt;"",K26="Approved",L26&lt;&gt;"",J26&lt;&gt;G26,J26&lt;&gt;F26),"RELEASE ELIGIBLE","HOLD"),"RELEASE ELIGIBLE"))))</x:f>
      </x:c>
      <x:c r="P26" t="str">
        <x:f>IF(B26="","",IF(COUNTIF('PO MASTER'!$A$4:$A$103,B26)=1,"VALID","INVALID PO ID"))</x:f>
      </x:c>
    </x:row>
    <x:row r="27">
      <x:c r="C27" s="20" t="str">
        <x:f>IF(B27="","",IFERROR(INDEX('PO MASTER'!$L$4:$L$103,MATCH(B27,'PO MASTER'!$A$4:$A$103,0)),0))</x:f>
      </x:c>
      <x:c r="D27" t="str">
        <x:f>IF(C27="","",IFERROR(INDEX('APPROVAL POLICY'!$D$2:$D$5,MATCH(C27,'APPROVAL POLICY'!$B$2:$B$5,1)),"CHECK POLICY"))</x:f>
      </x:c>
      <x:c r="E27" t="str">
        <x:f>IF(C27="","",IFERROR(INDEX('APPROVAL POLICY'!$E$2:$E$5,MATCH(C27,'APPROVAL POLICY'!$B$2:$B$5,1)),"CHECK POLICY"))</x:f>
      </x:c>
      <x:c r="I27" s="12"/>
      <x:c r="L27" s="12"/>
      <x:c r="M27" t="str">
        <x:f>IF(B27="","",IF(P27&lt;&gt;"VALID","BLOCKED - INVALID PO",IF(OR(G27="",H27&lt;&gt;"Approved",I27="",G27=F27),"HOLD",IF(E27="Yes",IF(AND(J27&lt;&gt;"",K27="Approved",L27&lt;&gt;"",J27&lt;&gt;G27,J27&lt;&gt;F27),"RELEASE ELIGIBLE","HOLD"),"RELEASE ELIGIBLE"))))</x:f>
      </x:c>
      <x:c r="P27" t="str">
        <x:f>IF(B27="","",IF(COUNTIF('PO MASTER'!$A$4:$A$103,B27)=1,"VALID","INVALID PO ID"))</x:f>
      </x:c>
    </x:row>
    <x:row r="28">
      <x:c r="C28" s="20" t="str">
        <x:f>IF(B28="","",IFERROR(INDEX('PO MASTER'!$L$4:$L$103,MATCH(B28,'PO MASTER'!$A$4:$A$103,0)),0))</x:f>
      </x:c>
      <x:c r="D28" t="str">
        <x:f>IF(C28="","",IFERROR(INDEX('APPROVAL POLICY'!$D$2:$D$5,MATCH(C28,'APPROVAL POLICY'!$B$2:$B$5,1)),"CHECK POLICY"))</x:f>
      </x:c>
      <x:c r="E28" t="str">
        <x:f>IF(C28="","",IFERROR(INDEX('APPROVAL POLICY'!$E$2:$E$5,MATCH(C28,'APPROVAL POLICY'!$B$2:$B$5,1)),"CHECK POLICY"))</x:f>
      </x:c>
      <x:c r="I28" s="12"/>
      <x:c r="L28" s="12"/>
      <x:c r="M28" t="str">
        <x:f>IF(B28="","",IF(P28&lt;&gt;"VALID","BLOCKED - INVALID PO",IF(OR(G28="",H28&lt;&gt;"Approved",I28="",G28=F28),"HOLD",IF(E28="Yes",IF(AND(J28&lt;&gt;"",K28="Approved",L28&lt;&gt;"",J28&lt;&gt;G28,J28&lt;&gt;F28),"RELEASE ELIGIBLE","HOLD"),"RELEASE ELIGIBLE"))))</x:f>
      </x:c>
      <x:c r="P28" t="str">
        <x:f>IF(B28="","",IF(COUNTIF('PO MASTER'!$A$4:$A$103,B28)=1,"VALID","INVALID PO ID"))</x:f>
      </x:c>
    </x:row>
    <x:row r="29">
      <x:c r="C29" s="20" t="str">
        <x:f>IF(B29="","",IFERROR(INDEX('PO MASTER'!$L$4:$L$103,MATCH(B29,'PO MASTER'!$A$4:$A$103,0)),0))</x:f>
      </x:c>
      <x:c r="D29" t="str">
        <x:f>IF(C29="","",IFERROR(INDEX('APPROVAL POLICY'!$D$2:$D$5,MATCH(C29,'APPROVAL POLICY'!$B$2:$B$5,1)),"CHECK POLICY"))</x:f>
      </x:c>
      <x:c r="E29" t="str">
        <x:f>IF(C29="","",IFERROR(INDEX('APPROVAL POLICY'!$E$2:$E$5,MATCH(C29,'APPROVAL POLICY'!$B$2:$B$5,1)),"CHECK POLICY"))</x:f>
      </x:c>
      <x:c r="I29" s="12"/>
      <x:c r="L29" s="12"/>
      <x:c r="M29" t="str">
        <x:f>IF(B29="","",IF(P29&lt;&gt;"VALID","BLOCKED - INVALID PO",IF(OR(G29="",H29&lt;&gt;"Approved",I29="",G29=F29),"HOLD",IF(E29="Yes",IF(AND(J29&lt;&gt;"",K29="Approved",L29&lt;&gt;"",J29&lt;&gt;G29,J29&lt;&gt;F29),"RELEASE ELIGIBLE","HOLD"),"RELEASE ELIGIBLE"))))</x:f>
      </x:c>
      <x:c r="P29" t="str">
        <x:f>IF(B29="","",IF(COUNTIF('PO MASTER'!$A$4:$A$103,B29)=1,"VALID","INVALID PO ID"))</x:f>
      </x:c>
    </x:row>
    <x:row r="30">
      <x:c r="C30" s="20" t="str">
        <x:f>IF(B30="","",IFERROR(INDEX('PO MASTER'!$L$4:$L$103,MATCH(B30,'PO MASTER'!$A$4:$A$103,0)),0))</x:f>
      </x:c>
      <x:c r="D30" t="str">
        <x:f>IF(C30="","",IFERROR(INDEX('APPROVAL POLICY'!$D$2:$D$5,MATCH(C30,'APPROVAL POLICY'!$B$2:$B$5,1)),"CHECK POLICY"))</x:f>
      </x:c>
      <x:c r="E30" t="str">
        <x:f>IF(C30="","",IFERROR(INDEX('APPROVAL POLICY'!$E$2:$E$5,MATCH(C30,'APPROVAL POLICY'!$B$2:$B$5,1)),"CHECK POLICY"))</x:f>
      </x:c>
      <x:c r="I30" s="12"/>
      <x:c r="L30" s="12"/>
      <x:c r="M30" t="str">
        <x:f>IF(B30="","",IF(P30&lt;&gt;"VALID","BLOCKED - INVALID PO",IF(OR(G30="",H30&lt;&gt;"Approved",I30="",G30=F30),"HOLD",IF(E30="Yes",IF(AND(J30&lt;&gt;"",K30="Approved",L30&lt;&gt;"",J30&lt;&gt;G30,J30&lt;&gt;F30),"RELEASE ELIGIBLE","HOLD"),"RELEASE ELIGIBLE"))))</x:f>
      </x:c>
      <x:c r="P30" t="str">
        <x:f>IF(B30="","",IF(COUNTIF('PO MASTER'!$A$4:$A$103,B30)=1,"VALID","INVALID PO ID"))</x:f>
      </x:c>
    </x:row>
    <x:row r="31">
      <x:c r="C31" s="20" t="str">
        <x:f>IF(B31="","",IFERROR(INDEX('PO MASTER'!$L$4:$L$103,MATCH(B31,'PO MASTER'!$A$4:$A$103,0)),0))</x:f>
      </x:c>
      <x:c r="D31" t="str">
        <x:f>IF(C31="","",IFERROR(INDEX('APPROVAL POLICY'!$D$2:$D$5,MATCH(C31,'APPROVAL POLICY'!$B$2:$B$5,1)),"CHECK POLICY"))</x:f>
      </x:c>
      <x:c r="E31" t="str">
        <x:f>IF(C31="","",IFERROR(INDEX('APPROVAL POLICY'!$E$2:$E$5,MATCH(C31,'APPROVAL POLICY'!$B$2:$B$5,1)),"CHECK POLICY"))</x:f>
      </x:c>
      <x:c r="I31" s="12"/>
      <x:c r="L31" s="12"/>
      <x:c r="M31" t="str">
        <x:f>IF(B31="","",IF(P31&lt;&gt;"VALID","BLOCKED - INVALID PO",IF(OR(G31="",H31&lt;&gt;"Approved",I31="",G31=F31),"HOLD",IF(E31="Yes",IF(AND(J31&lt;&gt;"",K31="Approved",L31&lt;&gt;"",J31&lt;&gt;G31,J31&lt;&gt;F31),"RELEASE ELIGIBLE","HOLD"),"RELEASE ELIGIBLE"))))</x:f>
      </x:c>
      <x:c r="P31" t="str">
        <x:f>IF(B31="","",IF(COUNTIF('PO MASTER'!$A$4:$A$103,B31)=1,"VALID","INVALID PO ID"))</x:f>
      </x:c>
    </x:row>
    <x:row r="32">
      <x:c r="C32" s="20" t="str">
        <x:f>IF(B32="","",IFERROR(INDEX('PO MASTER'!$L$4:$L$103,MATCH(B32,'PO MASTER'!$A$4:$A$103,0)),0))</x:f>
      </x:c>
      <x:c r="D32" t="str">
        <x:f>IF(C32="","",IFERROR(INDEX('APPROVAL POLICY'!$D$2:$D$5,MATCH(C32,'APPROVAL POLICY'!$B$2:$B$5,1)),"CHECK POLICY"))</x:f>
      </x:c>
      <x:c r="E32" t="str">
        <x:f>IF(C32="","",IFERROR(INDEX('APPROVAL POLICY'!$E$2:$E$5,MATCH(C32,'APPROVAL POLICY'!$B$2:$B$5,1)),"CHECK POLICY"))</x:f>
      </x:c>
      <x:c r="I32" s="12"/>
      <x:c r="L32" s="12"/>
      <x:c r="M32" t="str">
        <x:f>IF(B32="","",IF(P32&lt;&gt;"VALID","BLOCKED - INVALID PO",IF(OR(G32="",H32&lt;&gt;"Approved",I32="",G32=F32),"HOLD",IF(E32="Yes",IF(AND(J32&lt;&gt;"",K32="Approved",L32&lt;&gt;"",J32&lt;&gt;G32,J32&lt;&gt;F32),"RELEASE ELIGIBLE","HOLD"),"RELEASE ELIGIBLE"))))</x:f>
      </x:c>
      <x:c r="P32" t="str">
        <x:f>IF(B32="","",IF(COUNTIF('PO MASTER'!$A$4:$A$103,B32)=1,"VALID","INVALID PO ID"))</x:f>
      </x:c>
    </x:row>
    <x:row r="33">
      <x:c r="C33" s="20" t="str">
        <x:f>IF(B33="","",IFERROR(INDEX('PO MASTER'!$L$4:$L$103,MATCH(B33,'PO MASTER'!$A$4:$A$103,0)),0))</x:f>
      </x:c>
      <x:c r="D33" t="str">
        <x:f>IF(C33="","",IFERROR(INDEX('APPROVAL POLICY'!$D$2:$D$5,MATCH(C33,'APPROVAL POLICY'!$B$2:$B$5,1)),"CHECK POLICY"))</x:f>
      </x:c>
      <x:c r="E33" t="str">
        <x:f>IF(C33="","",IFERROR(INDEX('APPROVAL POLICY'!$E$2:$E$5,MATCH(C33,'APPROVAL POLICY'!$B$2:$B$5,1)),"CHECK POLICY"))</x:f>
      </x:c>
      <x:c r="I33" s="12"/>
      <x:c r="L33" s="12"/>
      <x:c r="M33" t="str">
        <x:f>IF(B33="","",IF(P33&lt;&gt;"VALID","BLOCKED - INVALID PO",IF(OR(G33="",H33&lt;&gt;"Approved",I33="",G33=F33),"HOLD",IF(E33="Yes",IF(AND(J33&lt;&gt;"",K33="Approved",L33&lt;&gt;"",J33&lt;&gt;G33,J33&lt;&gt;F33),"RELEASE ELIGIBLE","HOLD"),"RELEASE ELIGIBLE"))))</x:f>
      </x:c>
      <x:c r="P33" t="str">
        <x:f>IF(B33="","",IF(COUNTIF('PO MASTER'!$A$4:$A$103,B33)=1,"VALID","INVALID PO ID"))</x:f>
      </x:c>
    </x:row>
    <x:row r="34">
      <x:c r="C34" s="20" t="str">
        <x:f>IF(B34="","",IFERROR(INDEX('PO MASTER'!$L$4:$L$103,MATCH(B34,'PO MASTER'!$A$4:$A$103,0)),0))</x:f>
      </x:c>
      <x:c r="D34" t="str">
        <x:f>IF(C34="","",IFERROR(INDEX('APPROVAL POLICY'!$D$2:$D$5,MATCH(C34,'APPROVAL POLICY'!$B$2:$B$5,1)),"CHECK POLICY"))</x:f>
      </x:c>
      <x:c r="E34" t="str">
        <x:f>IF(C34="","",IFERROR(INDEX('APPROVAL POLICY'!$E$2:$E$5,MATCH(C34,'APPROVAL POLICY'!$B$2:$B$5,1)),"CHECK POLICY"))</x:f>
      </x:c>
      <x:c r="I34" s="12"/>
      <x:c r="L34" s="12"/>
      <x:c r="M34" t="str">
        <x:f>IF(B34="","",IF(P34&lt;&gt;"VALID","BLOCKED - INVALID PO",IF(OR(G34="",H34&lt;&gt;"Approved",I34="",G34=F34),"HOLD",IF(E34="Yes",IF(AND(J34&lt;&gt;"",K34="Approved",L34&lt;&gt;"",J34&lt;&gt;G34,J34&lt;&gt;F34),"RELEASE ELIGIBLE","HOLD"),"RELEASE ELIGIBLE"))))</x:f>
      </x:c>
      <x:c r="P34" t="str">
        <x:f>IF(B34="","",IF(COUNTIF('PO MASTER'!$A$4:$A$103,B34)=1,"VALID","INVALID PO ID"))</x:f>
      </x:c>
    </x:row>
    <x:row r="35">
      <x:c r="C35" s="20" t="str">
        <x:f>IF(B35="","",IFERROR(INDEX('PO MASTER'!$L$4:$L$103,MATCH(B35,'PO MASTER'!$A$4:$A$103,0)),0))</x:f>
      </x:c>
      <x:c r="D35" t="str">
        <x:f>IF(C35="","",IFERROR(INDEX('APPROVAL POLICY'!$D$2:$D$5,MATCH(C35,'APPROVAL POLICY'!$B$2:$B$5,1)),"CHECK POLICY"))</x:f>
      </x:c>
      <x:c r="E35" t="str">
        <x:f>IF(C35="","",IFERROR(INDEX('APPROVAL POLICY'!$E$2:$E$5,MATCH(C35,'APPROVAL POLICY'!$B$2:$B$5,1)),"CHECK POLICY"))</x:f>
      </x:c>
      <x:c r="I35" s="12"/>
      <x:c r="L35" s="12"/>
      <x:c r="M35" t="str">
        <x:f>IF(B35="","",IF(P35&lt;&gt;"VALID","BLOCKED - INVALID PO",IF(OR(G35="",H35&lt;&gt;"Approved",I35="",G35=F35),"HOLD",IF(E35="Yes",IF(AND(J35&lt;&gt;"",K35="Approved",L35&lt;&gt;"",J35&lt;&gt;G35,J35&lt;&gt;F35),"RELEASE ELIGIBLE","HOLD"),"RELEASE ELIGIBLE"))))</x:f>
      </x:c>
      <x:c r="P35" t="str">
        <x:f>IF(B35="","",IF(COUNTIF('PO MASTER'!$A$4:$A$103,B35)=1,"VALID","INVALID PO ID"))</x:f>
      </x:c>
    </x:row>
    <x:row r="36">
      <x:c r="C36" s="20" t="str">
        <x:f>IF(B36="","",IFERROR(INDEX('PO MASTER'!$L$4:$L$103,MATCH(B36,'PO MASTER'!$A$4:$A$103,0)),0))</x:f>
      </x:c>
      <x:c r="D36" t="str">
        <x:f>IF(C36="","",IFERROR(INDEX('APPROVAL POLICY'!$D$2:$D$5,MATCH(C36,'APPROVAL POLICY'!$B$2:$B$5,1)),"CHECK POLICY"))</x:f>
      </x:c>
      <x:c r="E36" t="str">
        <x:f>IF(C36="","",IFERROR(INDEX('APPROVAL POLICY'!$E$2:$E$5,MATCH(C36,'APPROVAL POLICY'!$B$2:$B$5,1)),"CHECK POLICY"))</x:f>
      </x:c>
      <x:c r="I36" s="12"/>
      <x:c r="L36" s="12"/>
      <x:c r="M36" t="str">
        <x:f>IF(B36="","",IF(P36&lt;&gt;"VALID","BLOCKED - INVALID PO",IF(OR(G36="",H36&lt;&gt;"Approved",I36="",G36=F36),"HOLD",IF(E36="Yes",IF(AND(J36&lt;&gt;"",K36="Approved",L36&lt;&gt;"",J36&lt;&gt;G36,J36&lt;&gt;F36),"RELEASE ELIGIBLE","HOLD"),"RELEASE ELIGIBLE"))))</x:f>
      </x:c>
      <x:c r="P36" t="str">
        <x:f>IF(B36="","",IF(COUNTIF('PO MASTER'!$A$4:$A$103,B36)=1,"VALID","INVALID PO ID"))</x:f>
      </x:c>
    </x:row>
    <x:row r="37">
      <x:c r="C37" s="20" t="str">
        <x:f>IF(B37="","",IFERROR(INDEX('PO MASTER'!$L$4:$L$103,MATCH(B37,'PO MASTER'!$A$4:$A$103,0)),0))</x:f>
      </x:c>
      <x:c r="D37" t="str">
        <x:f>IF(C37="","",IFERROR(INDEX('APPROVAL POLICY'!$D$2:$D$5,MATCH(C37,'APPROVAL POLICY'!$B$2:$B$5,1)),"CHECK POLICY"))</x:f>
      </x:c>
      <x:c r="E37" t="str">
        <x:f>IF(C37="","",IFERROR(INDEX('APPROVAL POLICY'!$E$2:$E$5,MATCH(C37,'APPROVAL POLICY'!$B$2:$B$5,1)),"CHECK POLICY"))</x:f>
      </x:c>
      <x:c r="I37" s="12"/>
      <x:c r="L37" s="12"/>
      <x:c r="M37" t="str">
        <x:f>IF(B37="","",IF(P37&lt;&gt;"VALID","BLOCKED - INVALID PO",IF(OR(G37="",H37&lt;&gt;"Approved",I37="",G37=F37),"HOLD",IF(E37="Yes",IF(AND(J37&lt;&gt;"",K37="Approved",L37&lt;&gt;"",J37&lt;&gt;G37,J37&lt;&gt;F37),"RELEASE ELIGIBLE","HOLD"),"RELEASE ELIGIBLE"))))</x:f>
      </x:c>
      <x:c r="P37" t="str">
        <x:f>IF(B37="","",IF(COUNTIF('PO MASTER'!$A$4:$A$103,B37)=1,"VALID","INVALID PO ID"))</x:f>
      </x:c>
    </x:row>
    <x:row r="38">
      <x:c r="C38" s="20" t="str">
        <x:f>IF(B38="","",IFERROR(INDEX('PO MASTER'!$L$4:$L$103,MATCH(B38,'PO MASTER'!$A$4:$A$103,0)),0))</x:f>
      </x:c>
      <x:c r="D38" t="str">
        <x:f>IF(C38="","",IFERROR(INDEX('APPROVAL POLICY'!$D$2:$D$5,MATCH(C38,'APPROVAL POLICY'!$B$2:$B$5,1)),"CHECK POLICY"))</x:f>
      </x:c>
      <x:c r="E38" t="str">
        <x:f>IF(C38="","",IFERROR(INDEX('APPROVAL POLICY'!$E$2:$E$5,MATCH(C38,'APPROVAL POLICY'!$B$2:$B$5,1)),"CHECK POLICY"))</x:f>
      </x:c>
      <x:c r="I38" s="12"/>
      <x:c r="L38" s="12"/>
      <x:c r="M38" t="str">
        <x:f>IF(B38="","",IF(P38&lt;&gt;"VALID","BLOCKED - INVALID PO",IF(OR(G38="",H38&lt;&gt;"Approved",I38="",G38=F38),"HOLD",IF(E38="Yes",IF(AND(J38&lt;&gt;"",K38="Approved",L38&lt;&gt;"",J38&lt;&gt;G38,J38&lt;&gt;F38),"RELEASE ELIGIBLE","HOLD"),"RELEASE ELIGIBLE"))))</x:f>
      </x:c>
      <x:c r="P38" t="str">
        <x:f>IF(B38="","",IF(COUNTIF('PO MASTER'!$A$4:$A$103,B38)=1,"VALID","INVALID PO ID"))</x:f>
      </x:c>
    </x:row>
    <x:row r="39">
      <x:c r="C39" s="20" t="str">
        <x:f>IF(B39="","",IFERROR(INDEX('PO MASTER'!$L$4:$L$103,MATCH(B39,'PO MASTER'!$A$4:$A$103,0)),0))</x:f>
      </x:c>
      <x:c r="D39" t="str">
        <x:f>IF(C39="","",IFERROR(INDEX('APPROVAL POLICY'!$D$2:$D$5,MATCH(C39,'APPROVAL POLICY'!$B$2:$B$5,1)),"CHECK POLICY"))</x:f>
      </x:c>
      <x:c r="E39" t="str">
        <x:f>IF(C39="","",IFERROR(INDEX('APPROVAL POLICY'!$E$2:$E$5,MATCH(C39,'APPROVAL POLICY'!$B$2:$B$5,1)),"CHECK POLICY"))</x:f>
      </x:c>
      <x:c r="I39" s="12"/>
      <x:c r="L39" s="12"/>
      <x:c r="M39" t="str">
        <x:f>IF(B39="","",IF(P39&lt;&gt;"VALID","BLOCKED - INVALID PO",IF(OR(G39="",H39&lt;&gt;"Approved",I39="",G39=F39),"HOLD",IF(E39="Yes",IF(AND(J39&lt;&gt;"",K39="Approved",L39&lt;&gt;"",J39&lt;&gt;G39,J39&lt;&gt;F39),"RELEASE ELIGIBLE","HOLD"),"RELEASE ELIGIBLE"))))</x:f>
      </x:c>
      <x:c r="P39" t="str">
        <x:f>IF(B39="","",IF(COUNTIF('PO MASTER'!$A$4:$A$103,B39)=1,"VALID","INVALID PO ID"))</x:f>
      </x:c>
    </x:row>
    <x:row r="40">
      <x:c r="C40" s="20" t="str">
        <x:f>IF(B40="","",IFERROR(INDEX('PO MASTER'!$L$4:$L$103,MATCH(B40,'PO MASTER'!$A$4:$A$103,0)),0))</x:f>
      </x:c>
      <x:c r="D40" t="str">
        <x:f>IF(C40="","",IFERROR(INDEX('APPROVAL POLICY'!$D$2:$D$5,MATCH(C40,'APPROVAL POLICY'!$B$2:$B$5,1)),"CHECK POLICY"))</x:f>
      </x:c>
      <x:c r="E40" t="str">
        <x:f>IF(C40="","",IFERROR(INDEX('APPROVAL POLICY'!$E$2:$E$5,MATCH(C40,'APPROVAL POLICY'!$B$2:$B$5,1)),"CHECK POLICY"))</x:f>
      </x:c>
      <x:c r="I40" s="12"/>
      <x:c r="L40" s="12"/>
      <x:c r="M40" t="str">
        <x:f>IF(B40="","",IF(P40&lt;&gt;"VALID","BLOCKED - INVALID PO",IF(OR(G40="",H40&lt;&gt;"Approved",I40="",G40=F40),"HOLD",IF(E40="Yes",IF(AND(J40&lt;&gt;"",K40="Approved",L40&lt;&gt;"",J40&lt;&gt;G40,J40&lt;&gt;F40),"RELEASE ELIGIBLE","HOLD"),"RELEASE ELIGIBLE"))))</x:f>
      </x:c>
      <x:c r="P40" t="str">
        <x:f>IF(B40="","",IF(COUNTIF('PO MASTER'!$A$4:$A$103,B40)=1,"VALID","INVALID PO ID"))</x:f>
      </x:c>
    </x:row>
    <x:row r="41">
      <x:c r="C41" s="20" t="str">
        <x:f>IF(B41="","",IFERROR(INDEX('PO MASTER'!$L$4:$L$103,MATCH(B41,'PO MASTER'!$A$4:$A$103,0)),0))</x:f>
      </x:c>
      <x:c r="D41" t="str">
        <x:f>IF(C41="","",IFERROR(INDEX('APPROVAL POLICY'!$D$2:$D$5,MATCH(C41,'APPROVAL POLICY'!$B$2:$B$5,1)),"CHECK POLICY"))</x:f>
      </x:c>
      <x:c r="E41" t="str">
        <x:f>IF(C41="","",IFERROR(INDEX('APPROVAL POLICY'!$E$2:$E$5,MATCH(C41,'APPROVAL POLICY'!$B$2:$B$5,1)),"CHECK POLICY"))</x:f>
      </x:c>
      <x:c r="I41" s="12"/>
      <x:c r="L41" s="12"/>
      <x:c r="M41" t="str">
        <x:f>IF(B41="","",IF(P41&lt;&gt;"VALID","BLOCKED - INVALID PO",IF(OR(G41="",H41&lt;&gt;"Approved",I41="",G41=F41),"HOLD",IF(E41="Yes",IF(AND(J41&lt;&gt;"",K41="Approved",L41&lt;&gt;"",J41&lt;&gt;G41,J41&lt;&gt;F41),"RELEASE ELIGIBLE","HOLD"),"RELEASE ELIGIBLE"))))</x:f>
      </x:c>
      <x:c r="P41" t="str">
        <x:f>IF(B41="","",IF(COUNTIF('PO MASTER'!$A$4:$A$103,B41)=1,"VALID","INVALID PO ID"))</x:f>
      </x:c>
    </x:row>
    <x:row r="42">
      <x:c r="C42" s="20" t="str">
        <x:f>IF(B42="","",IFERROR(INDEX('PO MASTER'!$L$4:$L$103,MATCH(B42,'PO MASTER'!$A$4:$A$103,0)),0))</x:f>
      </x:c>
      <x:c r="D42" t="str">
        <x:f>IF(C42="","",IFERROR(INDEX('APPROVAL POLICY'!$D$2:$D$5,MATCH(C42,'APPROVAL POLICY'!$B$2:$B$5,1)),"CHECK POLICY"))</x:f>
      </x:c>
      <x:c r="E42" t="str">
        <x:f>IF(C42="","",IFERROR(INDEX('APPROVAL POLICY'!$E$2:$E$5,MATCH(C42,'APPROVAL POLICY'!$B$2:$B$5,1)),"CHECK POLICY"))</x:f>
      </x:c>
      <x:c r="I42" s="12"/>
      <x:c r="L42" s="12"/>
      <x:c r="M42" t="str">
        <x:f>IF(B42="","",IF(P42&lt;&gt;"VALID","BLOCKED - INVALID PO",IF(OR(G42="",H42&lt;&gt;"Approved",I42="",G42=F42),"HOLD",IF(E42="Yes",IF(AND(J42&lt;&gt;"",K42="Approved",L42&lt;&gt;"",J42&lt;&gt;G42,J42&lt;&gt;F42),"RELEASE ELIGIBLE","HOLD"),"RELEASE ELIGIBLE"))))</x:f>
      </x:c>
      <x:c r="P42" t="str">
        <x:f>IF(B42="","",IF(COUNTIF('PO MASTER'!$A$4:$A$103,B42)=1,"VALID","INVALID PO ID"))</x:f>
      </x:c>
    </x:row>
    <x:row r="43">
      <x:c r="C43" s="20" t="str">
        <x:f>IF(B43="","",IFERROR(INDEX('PO MASTER'!$L$4:$L$103,MATCH(B43,'PO MASTER'!$A$4:$A$103,0)),0))</x:f>
      </x:c>
      <x:c r="D43" t="str">
        <x:f>IF(C43="","",IFERROR(INDEX('APPROVAL POLICY'!$D$2:$D$5,MATCH(C43,'APPROVAL POLICY'!$B$2:$B$5,1)),"CHECK POLICY"))</x:f>
      </x:c>
      <x:c r="E43" t="str">
        <x:f>IF(C43="","",IFERROR(INDEX('APPROVAL POLICY'!$E$2:$E$5,MATCH(C43,'APPROVAL POLICY'!$B$2:$B$5,1)),"CHECK POLICY"))</x:f>
      </x:c>
      <x:c r="I43" s="12"/>
      <x:c r="L43" s="12"/>
      <x:c r="M43" t="str">
        <x:f>IF(B43="","",IF(P43&lt;&gt;"VALID","BLOCKED - INVALID PO",IF(OR(G43="",H43&lt;&gt;"Approved",I43="",G43=F43),"HOLD",IF(E43="Yes",IF(AND(J43&lt;&gt;"",K43="Approved",L43&lt;&gt;"",J43&lt;&gt;G43,J43&lt;&gt;F43),"RELEASE ELIGIBLE","HOLD"),"RELEASE ELIGIBLE"))))</x:f>
      </x:c>
      <x:c r="P43" t="str">
        <x:f>IF(B43="","",IF(COUNTIF('PO MASTER'!$A$4:$A$103,B43)=1,"VALID","INVALID PO ID"))</x:f>
      </x:c>
    </x:row>
    <x:row r="44">
      <x:c r="C44" s="20" t="str">
        <x:f>IF(B44="","",IFERROR(INDEX('PO MASTER'!$L$4:$L$103,MATCH(B44,'PO MASTER'!$A$4:$A$103,0)),0))</x:f>
      </x:c>
      <x:c r="D44" t="str">
        <x:f>IF(C44="","",IFERROR(INDEX('APPROVAL POLICY'!$D$2:$D$5,MATCH(C44,'APPROVAL POLICY'!$B$2:$B$5,1)),"CHECK POLICY"))</x:f>
      </x:c>
      <x:c r="E44" t="str">
        <x:f>IF(C44="","",IFERROR(INDEX('APPROVAL POLICY'!$E$2:$E$5,MATCH(C44,'APPROVAL POLICY'!$B$2:$B$5,1)),"CHECK POLICY"))</x:f>
      </x:c>
      <x:c r="I44" s="12"/>
      <x:c r="L44" s="12"/>
      <x:c r="M44" t="str">
        <x:f>IF(B44="","",IF(P44&lt;&gt;"VALID","BLOCKED - INVALID PO",IF(OR(G44="",H44&lt;&gt;"Approved",I44="",G44=F44),"HOLD",IF(E44="Yes",IF(AND(J44&lt;&gt;"",K44="Approved",L44&lt;&gt;"",J44&lt;&gt;G44,J44&lt;&gt;F44),"RELEASE ELIGIBLE","HOLD"),"RELEASE ELIGIBLE"))))</x:f>
      </x:c>
      <x:c r="P44" t="str">
        <x:f>IF(B44="","",IF(COUNTIF('PO MASTER'!$A$4:$A$103,B44)=1,"VALID","INVALID PO ID"))</x:f>
      </x:c>
    </x:row>
    <x:row r="45">
      <x:c r="C45" s="20" t="str">
        <x:f>IF(B45="","",IFERROR(INDEX('PO MASTER'!$L$4:$L$103,MATCH(B45,'PO MASTER'!$A$4:$A$103,0)),0))</x:f>
      </x:c>
      <x:c r="D45" t="str">
        <x:f>IF(C45="","",IFERROR(INDEX('APPROVAL POLICY'!$D$2:$D$5,MATCH(C45,'APPROVAL POLICY'!$B$2:$B$5,1)),"CHECK POLICY"))</x:f>
      </x:c>
      <x:c r="E45" t="str">
        <x:f>IF(C45="","",IFERROR(INDEX('APPROVAL POLICY'!$E$2:$E$5,MATCH(C45,'APPROVAL POLICY'!$B$2:$B$5,1)),"CHECK POLICY"))</x:f>
      </x:c>
      <x:c r="I45" s="12"/>
      <x:c r="L45" s="12"/>
      <x:c r="M45" t="str">
        <x:f>IF(B45="","",IF(P45&lt;&gt;"VALID","BLOCKED - INVALID PO",IF(OR(G45="",H45&lt;&gt;"Approved",I45="",G45=F45),"HOLD",IF(E45="Yes",IF(AND(J45&lt;&gt;"",K45="Approved",L45&lt;&gt;"",J45&lt;&gt;G45,J45&lt;&gt;F45),"RELEASE ELIGIBLE","HOLD"),"RELEASE ELIGIBLE"))))</x:f>
      </x:c>
      <x:c r="P45" t="str">
        <x:f>IF(B45="","",IF(COUNTIF('PO MASTER'!$A$4:$A$103,B45)=1,"VALID","INVALID PO ID"))</x:f>
      </x:c>
    </x:row>
    <x:row r="46">
      <x:c r="C46" s="20" t="str">
        <x:f>IF(B46="","",IFERROR(INDEX('PO MASTER'!$L$4:$L$103,MATCH(B46,'PO MASTER'!$A$4:$A$103,0)),0))</x:f>
      </x:c>
      <x:c r="D46" t="str">
        <x:f>IF(C46="","",IFERROR(INDEX('APPROVAL POLICY'!$D$2:$D$5,MATCH(C46,'APPROVAL POLICY'!$B$2:$B$5,1)),"CHECK POLICY"))</x:f>
      </x:c>
      <x:c r="E46" t="str">
        <x:f>IF(C46="","",IFERROR(INDEX('APPROVAL POLICY'!$E$2:$E$5,MATCH(C46,'APPROVAL POLICY'!$B$2:$B$5,1)),"CHECK POLICY"))</x:f>
      </x:c>
      <x:c r="I46" s="12"/>
      <x:c r="L46" s="12"/>
      <x:c r="M46" t="str">
        <x:f>IF(B46="","",IF(P46&lt;&gt;"VALID","BLOCKED - INVALID PO",IF(OR(G46="",H46&lt;&gt;"Approved",I46="",G46=F46),"HOLD",IF(E46="Yes",IF(AND(J46&lt;&gt;"",K46="Approved",L46&lt;&gt;"",J46&lt;&gt;G46,J46&lt;&gt;F46),"RELEASE ELIGIBLE","HOLD"),"RELEASE ELIGIBLE"))))</x:f>
      </x:c>
      <x:c r="P46" t="str">
        <x:f>IF(B46="","",IF(COUNTIF('PO MASTER'!$A$4:$A$103,B46)=1,"VALID","INVALID PO ID"))</x:f>
      </x:c>
    </x:row>
    <x:row r="47">
      <x:c r="C47" s="20" t="str">
        <x:f>IF(B47="","",IFERROR(INDEX('PO MASTER'!$L$4:$L$103,MATCH(B47,'PO MASTER'!$A$4:$A$103,0)),0))</x:f>
      </x:c>
      <x:c r="D47" t="str">
        <x:f>IF(C47="","",IFERROR(INDEX('APPROVAL POLICY'!$D$2:$D$5,MATCH(C47,'APPROVAL POLICY'!$B$2:$B$5,1)),"CHECK POLICY"))</x:f>
      </x:c>
      <x:c r="E47" t="str">
        <x:f>IF(C47="","",IFERROR(INDEX('APPROVAL POLICY'!$E$2:$E$5,MATCH(C47,'APPROVAL POLICY'!$B$2:$B$5,1)),"CHECK POLICY"))</x:f>
      </x:c>
      <x:c r="I47" s="12"/>
      <x:c r="L47" s="12"/>
      <x:c r="M47" t="str">
        <x:f>IF(B47="","",IF(P47&lt;&gt;"VALID","BLOCKED - INVALID PO",IF(OR(G47="",H47&lt;&gt;"Approved",I47="",G47=F47),"HOLD",IF(E47="Yes",IF(AND(J47&lt;&gt;"",K47="Approved",L47&lt;&gt;"",J47&lt;&gt;G47,J47&lt;&gt;F47),"RELEASE ELIGIBLE","HOLD"),"RELEASE ELIGIBLE"))))</x:f>
      </x:c>
      <x:c r="P47" t="str">
        <x:f>IF(B47="","",IF(COUNTIF('PO MASTER'!$A$4:$A$103,B47)=1,"VALID","INVALID PO ID"))</x:f>
      </x:c>
    </x:row>
    <x:row r="48">
      <x:c r="C48" s="20" t="str">
        <x:f>IF(B48="","",IFERROR(INDEX('PO MASTER'!$L$4:$L$103,MATCH(B48,'PO MASTER'!$A$4:$A$103,0)),0))</x:f>
      </x:c>
      <x:c r="D48" t="str">
        <x:f>IF(C48="","",IFERROR(INDEX('APPROVAL POLICY'!$D$2:$D$5,MATCH(C48,'APPROVAL POLICY'!$B$2:$B$5,1)),"CHECK POLICY"))</x:f>
      </x:c>
      <x:c r="E48" t="str">
        <x:f>IF(C48="","",IFERROR(INDEX('APPROVAL POLICY'!$E$2:$E$5,MATCH(C48,'APPROVAL POLICY'!$B$2:$B$5,1)),"CHECK POLICY"))</x:f>
      </x:c>
      <x:c r="I48" s="12"/>
      <x:c r="L48" s="12"/>
      <x:c r="M48" t="str">
        <x:f>IF(B48="","",IF(P48&lt;&gt;"VALID","BLOCKED - INVALID PO",IF(OR(G48="",H48&lt;&gt;"Approved",I48="",G48=F48),"HOLD",IF(E48="Yes",IF(AND(J48&lt;&gt;"",K48="Approved",L48&lt;&gt;"",J48&lt;&gt;G48,J48&lt;&gt;F48),"RELEASE ELIGIBLE","HOLD"),"RELEASE ELIGIBLE"))))</x:f>
      </x:c>
      <x:c r="P48" t="str">
        <x:f>IF(B48="","",IF(COUNTIF('PO MASTER'!$A$4:$A$103,B48)=1,"VALID","INVALID PO ID"))</x:f>
      </x:c>
    </x:row>
    <x:row r="49">
      <x:c r="C49" s="20" t="str">
        <x:f>IF(B49="","",IFERROR(INDEX('PO MASTER'!$L$4:$L$103,MATCH(B49,'PO MASTER'!$A$4:$A$103,0)),0))</x:f>
      </x:c>
      <x:c r="D49" t="str">
        <x:f>IF(C49="","",IFERROR(INDEX('APPROVAL POLICY'!$D$2:$D$5,MATCH(C49,'APPROVAL POLICY'!$B$2:$B$5,1)),"CHECK POLICY"))</x:f>
      </x:c>
      <x:c r="E49" t="str">
        <x:f>IF(C49="","",IFERROR(INDEX('APPROVAL POLICY'!$E$2:$E$5,MATCH(C49,'APPROVAL POLICY'!$B$2:$B$5,1)),"CHECK POLICY"))</x:f>
      </x:c>
      <x:c r="I49" s="12"/>
      <x:c r="L49" s="12"/>
      <x:c r="M49" t="str">
        <x:f>IF(B49="","",IF(P49&lt;&gt;"VALID","BLOCKED - INVALID PO",IF(OR(G49="",H49&lt;&gt;"Approved",I49="",G49=F49),"HOLD",IF(E49="Yes",IF(AND(J49&lt;&gt;"",K49="Approved",L49&lt;&gt;"",J49&lt;&gt;G49,J49&lt;&gt;F49),"RELEASE ELIGIBLE","HOLD"),"RELEASE ELIGIBLE"))))</x:f>
      </x:c>
      <x:c r="P49" t="str">
        <x:f>IF(B49="","",IF(COUNTIF('PO MASTER'!$A$4:$A$103,B49)=1,"VALID","INVALID PO ID"))</x:f>
      </x:c>
    </x:row>
    <x:row r="50">
      <x:c r="C50" s="20" t="str">
        <x:f>IF(B50="","",IFERROR(INDEX('PO MASTER'!$L$4:$L$103,MATCH(B50,'PO MASTER'!$A$4:$A$103,0)),0))</x:f>
      </x:c>
      <x:c r="D50" t="str">
        <x:f>IF(C50="","",IFERROR(INDEX('APPROVAL POLICY'!$D$2:$D$5,MATCH(C50,'APPROVAL POLICY'!$B$2:$B$5,1)),"CHECK POLICY"))</x:f>
      </x:c>
      <x:c r="E50" t="str">
        <x:f>IF(C50="","",IFERROR(INDEX('APPROVAL POLICY'!$E$2:$E$5,MATCH(C50,'APPROVAL POLICY'!$B$2:$B$5,1)),"CHECK POLICY"))</x:f>
      </x:c>
      <x:c r="I50" s="12"/>
      <x:c r="L50" s="12"/>
      <x:c r="M50" t="str">
        <x:f>IF(B50="","",IF(P50&lt;&gt;"VALID","BLOCKED - INVALID PO",IF(OR(G50="",H50&lt;&gt;"Approved",I50="",G50=F50),"HOLD",IF(E50="Yes",IF(AND(J50&lt;&gt;"",K50="Approved",L50&lt;&gt;"",J50&lt;&gt;G50,J50&lt;&gt;F50),"RELEASE ELIGIBLE","HOLD"),"RELEASE ELIGIBLE"))))</x:f>
      </x:c>
      <x:c r="P50" t="str">
        <x:f>IF(B50="","",IF(COUNTIF('PO MASTER'!$A$4:$A$103,B50)=1,"VALID","INVALID PO ID"))</x:f>
      </x:c>
    </x:row>
    <x:row r="51">
      <x:c r="C51" s="20" t="str">
        <x:f>IF(B51="","",IFERROR(INDEX('PO MASTER'!$L$4:$L$103,MATCH(B51,'PO MASTER'!$A$4:$A$103,0)),0))</x:f>
      </x:c>
      <x:c r="D51" t="str">
        <x:f>IF(C51="","",IFERROR(INDEX('APPROVAL POLICY'!$D$2:$D$5,MATCH(C51,'APPROVAL POLICY'!$B$2:$B$5,1)),"CHECK POLICY"))</x:f>
      </x:c>
      <x:c r="E51" t="str">
        <x:f>IF(C51="","",IFERROR(INDEX('APPROVAL POLICY'!$E$2:$E$5,MATCH(C51,'APPROVAL POLICY'!$B$2:$B$5,1)),"CHECK POLICY"))</x:f>
      </x:c>
      <x:c r="I51" s="12"/>
      <x:c r="L51" s="12"/>
      <x:c r="M51" t="str">
        <x:f>IF(B51="","",IF(P51&lt;&gt;"VALID","BLOCKED - INVALID PO",IF(OR(G51="",H51&lt;&gt;"Approved",I51="",G51=F51),"HOLD",IF(E51="Yes",IF(AND(J51&lt;&gt;"",K51="Approved",L51&lt;&gt;"",J51&lt;&gt;G51,J51&lt;&gt;F51),"RELEASE ELIGIBLE","HOLD"),"RELEASE ELIGIBLE"))))</x:f>
      </x:c>
      <x:c r="P51" t="str">
        <x:f>IF(B51="","",IF(COUNTIF('PO MASTER'!$A$4:$A$103,B51)=1,"VALID","INVALID PO ID"))</x:f>
      </x:c>
    </x:row>
    <x:row r="52">
      <x:c r="C52" s="20" t="str">
        <x:f>IF(B52="","",IFERROR(INDEX('PO MASTER'!$L$4:$L$103,MATCH(B52,'PO MASTER'!$A$4:$A$103,0)),0))</x:f>
      </x:c>
      <x:c r="D52" t="str">
        <x:f>IF(C52="","",IFERROR(INDEX('APPROVAL POLICY'!$D$2:$D$5,MATCH(C52,'APPROVAL POLICY'!$B$2:$B$5,1)),"CHECK POLICY"))</x:f>
      </x:c>
      <x:c r="E52" t="str">
        <x:f>IF(C52="","",IFERROR(INDEX('APPROVAL POLICY'!$E$2:$E$5,MATCH(C52,'APPROVAL POLICY'!$B$2:$B$5,1)),"CHECK POLICY"))</x:f>
      </x:c>
      <x:c r="I52" s="12"/>
      <x:c r="L52" s="12"/>
      <x:c r="M52" t="str">
        <x:f>IF(B52="","",IF(P52&lt;&gt;"VALID","BLOCKED - INVALID PO",IF(OR(G52="",H52&lt;&gt;"Approved",I52="",G52=F52),"HOLD",IF(E52="Yes",IF(AND(J52&lt;&gt;"",K52="Approved",L52&lt;&gt;"",J52&lt;&gt;G52,J52&lt;&gt;F52),"RELEASE ELIGIBLE","HOLD"),"RELEASE ELIGIBLE"))))</x:f>
      </x:c>
      <x:c r="P52" t="str">
        <x:f>IF(B52="","",IF(COUNTIF('PO MASTER'!$A$4:$A$103,B52)=1,"VALID","INVALID PO ID"))</x:f>
      </x:c>
    </x:row>
    <x:row r="53">
      <x:c r="C53" s="20" t="str">
        <x:f>IF(B53="","",IFERROR(INDEX('PO MASTER'!$L$4:$L$103,MATCH(B53,'PO MASTER'!$A$4:$A$103,0)),0))</x:f>
      </x:c>
      <x:c r="D53" t="str">
        <x:f>IF(C53="","",IFERROR(INDEX('APPROVAL POLICY'!$D$2:$D$5,MATCH(C53,'APPROVAL POLICY'!$B$2:$B$5,1)),"CHECK POLICY"))</x:f>
      </x:c>
      <x:c r="E53" t="str">
        <x:f>IF(C53="","",IFERROR(INDEX('APPROVAL POLICY'!$E$2:$E$5,MATCH(C53,'APPROVAL POLICY'!$B$2:$B$5,1)),"CHECK POLICY"))</x:f>
      </x:c>
      <x:c r="I53" s="12"/>
      <x:c r="L53" s="12"/>
      <x:c r="M53" t="str">
        <x:f>IF(B53="","",IF(P53&lt;&gt;"VALID","BLOCKED - INVALID PO",IF(OR(G53="",H53&lt;&gt;"Approved",I53="",G53=F53),"HOLD",IF(E53="Yes",IF(AND(J53&lt;&gt;"",K53="Approved",L53&lt;&gt;"",J53&lt;&gt;G53,J53&lt;&gt;F53),"RELEASE ELIGIBLE","HOLD"),"RELEASE ELIGIBLE"))))</x:f>
      </x:c>
      <x:c r="P53" t="str">
        <x:f>IF(B53="","",IF(COUNTIF('PO MASTER'!$A$4:$A$103,B53)=1,"VALID","INVALID PO ID"))</x:f>
      </x:c>
    </x:row>
    <x:row r="54">
      <x:c r="C54" s="20" t="str">
        <x:f>IF(B54="","",IFERROR(INDEX('PO MASTER'!$L$4:$L$103,MATCH(B54,'PO MASTER'!$A$4:$A$103,0)),0))</x:f>
      </x:c>
      <x:c r="D54" t="str">
        <x:f>IF(C54="","",IFERROR(INDEX('APPROVAL POLICY'!$D$2:$D$5,MATCH(C54,'APPROVAL POLICY'!$B$2:$B$5,1)),"CHECK POLICY"))</x:f>
      </x:c>
      <x:c r="E54" t="str">
        <x:f>IF(C54="","",IFERROR(INDEX('APPROVAL POLICY'!$E$2:$E$5,MATCH(C54,'APPROVAL POLICY'!$B$2:$B$5,1)),"CHECK POLICY"))</x:f>
      </x:c>
      <x:c r="I54" s="12"/>
      <x:c r="L54" s="12"/>
      <x:c r="M54" t="str">
        <x:f>IF(B54="","",IF(P54&lt;&gt;"VALID","BLOCKED - INVALID PO",IF(OR(G54="",H54&lt;&gt;"Approved",I54="",G54=F54),"HOLD",IF(E54="Yes",IF(AND(J54&lt;&gt;"",K54="Approved",L54&lt;&gt;"",J54&lt;&gt;G54,J54&lt;&gt;F54),"RELEASE ELIGIBLE","HOLD"),"RELEASE ELIGIBLE"))))</x:f>
      </x:c>
      <x:c r="P54" t="str">
        <x:f>IF(B54="","",IF(COUNTIF('PO MASTER'!$A$4:$A$103,B54)=1,"VALID","INVALID PO ID"))</x:f>
      </x:c>
    </x:row>
    <x:row r="55">
      <x:c r="C55" s="20" t="str">
        <x:f>IF(B55="","",IFERROR(INDEX('PO MASTER'!$L$4:$L$103,MATCH(B55,'PO MASTER'!$A$4:$A$103,0)),0))</x:f>
      </x:c>
      <x:c r="D55" t="str">
        <x:f>IF(C55="","",IFERROR(INDEX('APPROVAL POLICY'!$D$2:$D$5,MATCH(C55,'APPROVAL POLICY'!$B$2:$B$5,1)),"CHECK POLICY"))</x:f>
      </x:c>
      <x:c r="E55" t="str">
        <x:f>IF(C55="","",IFERROR(INDEX('APPROVAL POLICY'!$E$2:$E$5,MATCH(C55,'APPROVAL POLICY'!$B$2:$B$5,1)),"CHECK POLICY"))</x:f>
      </x:c>
      <x:c r="I55" s="12"/>
      <x:c r="L55" s="12"/>
      <x:c r="M55" t="str">
        <x:f>IF(B55="","",IF(P55&lt;&gt;"VALID","BLOCKED - INVALID PO",IF(OR(G55="",H55&lt;&gt;"Approved",I55="",G55=F55),"HOLD",IF(E55="Yes",IF(AND(J55&lt;&gt;"",K55="Approved",L55&lt;&gt;"",J55&lt;&gt;G55,J55&lt;&gt;F55),"RELEASE ELIGIBLE","HOLD"),"RELEASE ELIGIBLE"))))</x:f>
      </x:c>
      <x:c r="P55" t="str">
        <x:f>IF(B55="","",IF(COUNTIF('PO MASTER'!$A$4:$A$103,B55)=1,"VALID","INVALID PO ID"))</x:f>
      </x:c>
    </x:row>
    <x:row r="56">
      <x:c r="C56" s="20" t="str">
        <x:f>IF(B56="","",IFERROR(INDEX('PO MASTER'!$L$4:$L$103,MATCH(B56,'PO MASTER'!$A$4:$A$103,0)),0))</x:f>
      </x:c>
      <x:c r="D56" t="str">
        <x:f>IF(C56="","",IFERROR(INDEX('APPROVAL POLICY'!$D$2:$D$5,MATCH(C56,'APPROVAL POLICY'!$B$2:$B$5,1)),"CHECK POLICY"))</x:f>
      </x:c>
      <x:c r="E56" t="str">
        <x:f>IF(C56="","",IFERROR(INDEX('APPROVAL POLICY'!$E$2:$E$5,MATCH(C56,'APPROVAL POLICY'!$B$2:$B$5,1)),"CHECK POLICY"))</x:f>
      </x:c>
      <x:c r="I56" s="12"/>
      <x:c r="L56" s="12"/>
      <x:c r="M56" t="str">
        <x:f>IF(B56="","",IF(P56&lt;&gt;"VALID","BLOCKED - INVALID PO",IF(OR(G56="",H56&lt;&gt;"Approved",I56="",G56=F56),"HOLD",IF(E56="Yes",IF(AND(J56&lt;&gt;"",K56="Approved",L56&lt;&gt;"",J56&lt;&gt;G56,J56&lt;&gt;F56),"RELEASE ELIGIBLE","HOLD"),"RELEASE ELIGIBLE"))))</x:f>
      </x:c>
      <x:c r="P56" t="str">
        <x:f>IF(B56="","",IF(COUNTIF('PO MASTER'!$A$4:$A$103,B56)=1,"VALID","INVALID PO ID"))</x:f>
      </x:c>
    </x:row>
    <x:row r="57">
      <x:c r="C57" s="20" t="str">
        <x:f>IF(B57="","",IFERROR(INDEX('PO MASTER'!$L$4:$L$103,MATCH(B57,'PO MASTER'!$A$4:$A$103,0)),0))</x:f>
      </x:c>
      <x:c r="D57" t="str">
        <x:f>IF(C57="","",IFERROR(INDEX('APPROVAL POLICY'!$D$2:$D$5,MATCH(C57,'APPROVAL POLICY'!$B$2:$B$5,1)),"CHECK POLICY"))</x:f>
      </x:c>
      <x:c r="E57" t="str">
        <x:f>IF(C57="","",IFERROR(INDEX('APPROVAL POLICY'!$E$2:$E$5,MATCH(C57,'APPROVAL POLICY'!$B$2:$B$5,1)),"CHECK POLICY"))</x:f>
      </x:c>
      <x:c r="I57" s="12"/>
      <x:c r="L57" s="12"/>
      <x:c r="M57" t="str">
        <x:f>IF(B57="","",IF(P57&lt;&gt;"VALID","BLOCKED - INVALID PO",IF(OR(G57="",H57&lt;&gt;"Approved",I57="",G57=F57),"HOLD",IF(E57="Yes",IF(AND(J57&lt;&gt;"",K57="Approved",L57&lt;&gt;"",J57&lt;&gt;G57,J57&lt;&gt;F57),"RELEASE ELIGIBLE","HOLD"),"RELEASE ELIGIBLE"))))</x:f>
      </x:c>
      <x:c r="P57" t="str">
        <x:f>IF(B57="","",IF(COUNTIF('PO MASTER'!$A$4:$A$103,B57)=1,"VALID","INVALID PO ID"))</x:f>
      </x:c>
    </x:row>
    <x:row r="58">
      <x:c r="C58" s="20" t="str">
        <x:f>IF(B58="","",IFERROR(INDEX('PO MASTER'!$L$4:$L$103,MATCH(B58,'PO MASTER'!$A$4:$A$103,0)),0))</x:f>
      </x:c>
      <x:c r="D58" t="str">
        <x:f>IF(C58="","",IFERROR(INDEX('APPROVAL POLICY'!$D$2:$D$5,MATCH(C58,'APPROVAL POLICY'!$B$2:$B$5,1)),"CHECK POLICY"))</x:f>
      </x:c>
      <x:c r="E58" t="str">
        <x:f>IF(C58="","",IFERROR(INDEX('APPROVAL POLICY'!$E$2:$E$5,MATCH(C58,'APPROVAL POLICY'!$B$2:$B$5,1)),"CHECK POLICY"))</x:f>
      </x:c>
      <x:c r="I58" s="12"/>
      <x:c r="L58" s="12"/>
      <x:c r="M58" t="str">
        <x:f>IF(B58="","",IF(P58&lt;&gt;"VALID","BLOCKED - INVALID PO",IF(OR(G58="",H58&lt;&gt;"Approved",I58="",G58=F58),"HOLD",IF(E58="Yes",IF(AND(J58&lt;&gt;"",K58="Approved",L58&lt;&gt;"",J58&lt;&gt;G58,J58&lt;&gt;F58),"RELEASE ELIGIBLE","HOLD"),"RELEASE ELIGIBLE"))))</x:f>
      </x:c>
      <x:c r="P58" t="str">
        <x:f>IF(B58="","",IF(COUNTIF('PO MASTER'!$A$4:$A$103,B58)=1,"VALID","INVALID PO ID"))</x:f>
      </x:c>
    </x:row>
    <x:row r="59">
      <x:c r="C59" s="20" t="str">
        <x:f>IF(B59="","",IFERROR(INDEX('PO MASTER'!$L$4:$L$103,MATCH(B59,'PO MASTER'!$A$4:$A$103,0)),0))</x:f>
      </x:c>
      <x:c r="D59" t="str">
        <x:f>IF(C59="","",IFERROR(INDEX('APPROVAL POLICY'!$D$2:$D$5,MATCH(C59,'APPROVAL POLICY'!$B$2:$B$5,1)),"CHECK POLICY"))</x:f>
      </x:c>
      <x:c r="E59" t="str">
        <x:f>IF(C59="","",IFERROR(INDEX('APPROVAL POLICY'!$E$2:$E$5,MATCH(C59,'APPROVAL POLICY'!$B$2:$B$5,1)),"CHECK POLICY"))</x:f>
      </x:c>
      <x:c r="I59" s="12"/>
      <x:c r="L59" s="12"/>
      <x:c r="M59" t="str">
        <x:f>IF(B59="","",IF(P59&lt;&gt;"VALID","BLOCKED - INVALID PO",IF(OR(G59="",H59&lt;&gt;"Approved",I59="",G59=F59),"HOLD",IF(E59="Yes",IF(AND(J59&lt;&gt;"",K59="Approved",L59&lt;&gt;"",J59&lt;&gt;G59,J59&lt;&gt;F59),"RELEASE ELIGIBLE","HOLD"),"RELEASE ELIGIBLE"))))</x:f>
      </x:c>
      <x:c r="P59" t="str">
        <x:f>IF(B59="","",IF(COUNTIF('PO MASTER'!$A$4:$A$103,B59)=1,"VALID","INVALID PO ID"))</x:f>
      </x:c>
    </x:row>
    <x:row r="60">
      <x:c r="C60" s="20" t="str">
        <x:f>IF(B60="","",IFERROR(INDEX('PO MASTER'!$L$4:$L$103,MATCH(B60,'PO MASTER'!$A$4:$A$103,0)),0))</x:f>
      </x:c>
      <x:c r="D60" t="str">
        <x:f>IF(C60="","",IFERROR(INDEX('APPROVAL POLICY'!$D$2:$D$5,MATCH(C60,'APPROVAL POLICY'!$B$2:$B$5,1)),"CHECK POLICY"))</x:f>
      </x:c>
      <x:c r="E60" t="str">
        <x:f>IF(C60="","",IFERROR(INDEX('APPROVAL POLICY'!$E$2:$E$5,MATCH(C60,'APPROVAL POLICY'!$B$2:$B$5,1)),"CHECK POLICY"))</x:f>
      </x:c>
      <x:c r="I60" s="12"/>
      <x:c r="L60" s="12"/>
      <x:c r="M60" t="str">
        <x:f>IF(B60="","",IF(P60&lt;&gt;"VALID","BLOCKED - INVALID PO",IF(OR(G60="",H60&lt;&gt;"Approved",I60="",G60=F60),"HOLD",IF(E60="Yes",IF(AND(J60&lt;&gt;"",K60="Approved",L60&lt;&gt;"",J60&lt;&gt;G60,J60&lt;&gt;F60),"RELEASE ELIGIBLE","HOLD"),"RELEASE ELIGIBLE"))))</x:f>
      </x:c>
      <x:c r="P60" t="str">
        <x:f>IF(B60="","",IF(COUNTIF('PO MASTER'!$A$4:$A$103,B60)=1,"VALID","INVALID PO ID"))</x:f>
      </x:c>
    </x:row>
    <x:row r="61">
      <x:c r="C61" s="20" t="str">
        <x:f>IF(B61="","",IFERROR(INDEX('PO MASTER'!$L$4:$L$103,MATCH(B61,'PO MASTER'!$A$4:$A$103,0)),0))</x:f>
      </x:c>
      <x:c r="D61" t="str">
        <x:f>IF(C61="","",IFERROR(INDEX('APPROVAL POLICY'!$D$2:$D$5,MATCH(C61,'APPROVAL POLICY'!$B$2:$B$5,1)),"CHECK POLICY"))</x:f>
      </x:c>
      <x:c r="E61" t="str">
        <x:f>IF(C61="","",IFERROR(INDEX('APPROVAL POLICY'!$E$2:$E$5,MATCH(C61,'APPROVAL POLICY'!$B$2:$B$5,1)),"CHECK POLICY"))</x:f>
      </x:c>
      <x:c r="I61" s="12"/>
      <x:c r="L61" s="12"/>
      <x:c r="M61" t="str">
        <x:f>IF(B61="","",IF(P61&lt;&gt;"VALID","BLOCKED - INVALID PO",IF(OR(G61="",H61&lt;&gt;"Approved",I61="",G61=F61),"HOLD",IF(E61="Yes",IF(AND(J61&lt;&gt;"",K61="Approved",L61&lt;&gt;"",J61&lt;&gt;G61,J61&lt;&gt;F61),"RELEASE ELIGIBLE","HOLD"),"RELEASE ELIGIBLE"))))</x:f>
      </x:c>
      <x:c r="P61" t="str">
        <x:f>IF(B61="","",IF(COUNTIF('PO MASTER'!$A$4:$A$103,B61)=1,"VALID","INVALID PO ID"))</x:f>
      </x:c>
    </x:row>
    <x:row r="62">
      <x:c r="C62" s="20" t="str">
        <x:f>IF(B62="","",IFERROR(INDEX('PO MASTER'!$L$4:$L$103,MATCH(B62,'PO MASTER'!$A$4:$A$103,0)),0))</x:f>
      </x:c>
      <x:c r="D62" t="str">
        <x:f>IF(C62="","",IFERROR(INDEX('APPROVAL POLICY'!$D$2:$D$5,MATCH(C62,'APPROVAL POLICY'!$B$2:$B$5,1)),"CHECK POLICY"))</x:f>
      </x:c>
      <x:c r="E62" t="str">
        <x:f>IF(C62="","",IFERROR(INDEX('APPROVAL POLICY'!$E$2:$E$5,MATCH(C62,'APPROVAL POLICY'!$B$2:$B$5,1)),"CHECK POLICY"))</x:f>
      </x:c>
      <x:c r="I62" s="12"/>
      <x:c r="L62" s="12"/>
      <x:c r="M62" t="str">
        <x:f>IF(B62="","",IF(P62&lt;&gt;"VALID","BLOCKED - INVALID PO",IF(OR(G62="",H62&lt;&gt;"Approved",I62="",G62=F62),"HOLD",IF(E62="Yes",IF(AND(J62&lt;&gt;"",K62="Approved",L62&lt;&gt;"",J62&lt;&gt;G62,J62&lt;&gt;F62),"RELEASE ELIGIBLE","HOLD"),"RELEASE ELIGIBLE"))))</x:f>
      </x:c>
      <x:c r="P62" t="str">
        <x:f>IF(B62="","",IF(COUNTIF('PO MASTER'!$A$4:$A$103,B62)=1,"VALID","INVALID PO ID"))</x:f>
      </x:c>
    </x:row>
    <x:row r="63">
      <x:c r="C63" s="20" t="str">
        <x:f>IF(B63="","",IFERROR(INDEX('PO MASTER'!$L$4:$L$103,MATCH(B63,'PO MASTER'!$A$4:$A$103,0)),0))</x:f>
      </x:c>
      <x:c r="D63" t="str">
        <x:f>IF(C63="","",IFERROR(INDEX('APPROVAL POLICY'!$D$2:$D$5,MATCH(C63,'APPROVAL POLICY'!$B$2:$B$5,1)),"CHECK POLICY"))</x:f>
      </x:c>
      <x:c r="E63" t="str">
        <x:f>IF(C63="","",IFERROR(INDEX('APPROVAL POLICY'!$E$2:$E$5,MATCH(C63,'APPROVAL POLICY'!$B$2:$B$5,1)),"CHECK POLICY"))</x:f>
      </x:c>
      <x:c r="I63" s="12"/>
      <x:c r="L63" s="12"/>
      <x:c r="M63" t="str">
        <x:f>IF(B63="","",IF(P63&lt;&gt;"VALID","BLOCKED - INVALID PO",IF(OR(G63="",H63&lt;&gt;"Approved",I63="",G63=F63),"HOLD",IF(E63="Yes",IF(AND(J63&lt;&gt;"",K63="Approved",L63&lt;&gt;"",J63&lt;&gt;G63,J63&lt;&gt;F63),"RELEASE ELIGIBLE","HOLD"),"RELEASE ELIGIBLE"))))</x:f>
      </x:c>
      <x:c r="P63" t="str">
        <x:f>IF(B63="","",IF(COUNTIF('PO MASTER'!$A$4:$A$103,B63)=1,"VALID","INVALID PO ID"))</x:f>
      </x:c>
    </x:row>
    <x:row r="64">
      <x:c r="C64" s="20" t="str">
        <x:f>IF(B64="","",IFERROR(INDEX('PO MASTER'!$L$4:$L$103,MATCH(B64,'PO MASTER'!$A$4:$A$103,0)),0))</x:f>
      </x:c>
      <x:c r="D64" t="str">
        <x:f>IF(C64="","",IFERROR(INDEX('APPROVAL POLICY'!$D$2:$D$5,MATCH(C64,'APPROVAL POLICY'!$B$2:$B$5,1)),"CHECK POLICY"))</x:f>
      </x:c>
      <x:c r="E64" t="str">
        <x:f>IF(C64="","",IFERROR(INDEX('APPROVAL POLICY'!$E$2:$E$5,MATCH(C64,'APPROVAL POLICY'!$B$2:$B$5,1)),"CHECK POLICY"))</x:f>
      </x:c>
      <x:c r="I64" s="12"/>
      <x:c r="L64" s="12"/>
      <x:c r="M64" t="str">
        <x:f>IF(B64="","",IF(P64&lt;&gt;"VALID","BLOCKED - INVALID PO",IF(OR(G64="",H64&lt;&gt;"Approved",I64="",G64=F64),"HOLD",IF(E64="Yes",IF(AND(J64&lt;&gt;"",K64="Approved",L64&lt;&gt;"",J64&lt;&gt;G64,J64&lt;&gt;F64),"RELEASE ELIGIBLE","HOLD"),"RELEASE ELIGIBLE"))))</x:f>
      </x:c>
      <x:c r="P64" t="str">
        <x:f>IF(B64="","",IF(COUNTIF('PO MASTER'!$A$4:$A$103,B64)=1,"VALID","INVALID PO ID"))</x:f>
      </x:c>
    </x:row>
    <x:row r="65">
      <x:c r="C65" s="20" t="str">
        <x:f>IF(B65="","",IFERROR(INDEX('PO MASTER'!$L$4:$L$103,MATCH(B65,'PO MASTER'!$A$4:$A$103,0)),0))</x:f>
      </x:c>
      <x:c r="D65" t="str">
        <x:f>IF(C65="","",IFERROR(INDEX('APPROVAL POLICY'!$D$2:$D$5,MATCH(C65,'APPROVAL POLICY'!$B$2:$B$5,1)),"CHECK POLICY"))</x:f>
      </x:c>
      <x:c r="E65" t="str">
        <x:f>IF(C65="","",IFERROR(INDEX('APPROVAL POLICY'!$E$2:$E$5,MATCH(C65,'APPROVAL POLICY'!$B$2:$B$5,1)),"CHECK POLICY"))</x:f>
      </x:c>
      <x:c r="I65" s="12"/>
      <x:c r="L65" s="12"/>
      <x:c r="M65" t="str">
        <x:f>IF(B65="","",IF(P65&lt;&gt;"VALID","BLOCKED - INVALID PO",IF(OR(G65="",H65&lt;&gt;"Approved",I65="",G65=F65),"HOLD",IF(E65="Yes",IF(AND(J65&lt;&gt;"",K65="Approved",L65&lt;&gt;"",J65&lt;&gt;G65,J65&lt;&gt;F65),"RELEASE ELIGIBLE","HOLD"),"RELEASE ELIGIBLE"))))</x:f>
      </x:c>
      <x:c r="P65" t="str">
        <x:f>IF(B65="","",IF(COUNTIF('PO MASTER'!$A$4:$A$103,B65)=1,"VALID","INVALID PO ID"))</x:f>
      </x:c>
    </x:row>
    <x:row r="66">
      <x:c r="C66" s="20" t="str">
        <x:f>IF(B66="","",IFERROR(INDEX('PO MASTER'!$L$4:$L$103,MATCH(B66,'PO MASTER'!$A$4:$A$103,0)),0))</x:f>
      </x:c>
      <x:c r="D66" t="str">
        <x:f>IF(C66="","",IFERROR(INDEX('APPROVAL POLICY'!$D$2:$D$5,MATCH(C66,'APPROVAL POLICY'!$B$2:$B$5,1)),"CHECK POLICY"))</x:f>
      </x:c>
      <x:c r="E66" t="str">
        <x:f>IF(C66="","",IFERROR(INDEX('APPROVAL POLICY'!$E$2:$E$5,MATCH(C66,'APPROVAL POLICY'!$B$2:$B$5,1)),"CHECK POLICY"))</x:f>
      </x:c>
      <x:c r="I66" s="12"/>
      <x:c r="L66" s="12"/>
      <x:c r="M66" t="str">
        <x:f>IF(B66="","",IF(P66&lt;&gt;"VALID","BLOCKED - INVALID PO",IF(OR(G66="",H66&lt;&gt;"Approved",I66="",G66=F66),"HOLD",IF(E66="Yes",IF(AND(J66&lt;&gt;"",K66="Approved",L66&lt;&gt;"",J66&lt;&gt;G66,J66&lt;&gt;F66),"RELEASE ELIGIBLE","HOLD"),"RELEASE ELIGIBLE"))))</x:f>
      </x:c>
      <x:c r="P66" t="str">
        <x:f>IF(B66="","",IF(COUNTIF('PO MASTER'!$A$4:$A$103,B66)=1,"VALID","INVALID PO ID"))</x:f>
      </x:c>
    </x:row>
    <x:row r="67">
      <x:c r="C67" s="20" t="str">
        <x:f>IF(B67="","",IFERROR(INDEX('PO MASTER'!$L$4:$L$103,MATCH(B67,'PO MASTER'!$A$4:$A$103,0)),0))</x:f>
      </x:c>
      <x:c r="D67" t="str">
        <x:f>IF(C67="","",IFERROR(INDEX('APPROVAL POLICY'!$D$2:$D$5,MATCH(C67,'APPROVAL POLICY'!$B$2:$B$5,1)),"CHECK POLICY"))</x:f>
      </x:c>
      <x:c r="E67" t="str">
        <x:f>IF(C67="","",IFERROR(INDEX('APPROVAL POLICY'!$E$2:$E$5,MATCH(C67,'APPROVAL POLICY'!$B$2:$B$5,1)),"CHECK POLICY"))</x:f>
      </x:c>
      <x:c r="I67" s="12"/>
      <x:c r="L67" s="12"/>
      <x:c r="M67" t="str">
        <x:f>IF(B67="","",IF(P67&lt;&gt;"VALID","BLOCKED - INVALID PO",IF(OR(G67="",H67&lt;&gt;"Approved",I67="",G67=F67),"HOLD",IF(E67="Yes",IF(AND(J67&lt;&gt;"",K67="Approved",L67&lt;&gt;"",J67&lt;&gt;G67,J67&lt;&gt;F67),"RELEASE ELIGIBLE","HOLD"),"RELEASE ELIGIBLE"))))</x:f>
      </x:c>
      <x:c r="P67" t="str">
        <x:f>IF(B67="","",IF(COUNTIF('PO MASTER'!$A$4:$A$103,B67)=1,"VALID","INVALID PO ID"))</x:f>
      </x:c>
    </x:row>
    <x:row r="68">
      <x:c r="C68" s="20" t="str">
        <x:f>IF(B68="","",IFERROR(INDEX('PO MASTER'!$L$4:$L$103,MATCH(B68,'PO MASTER'!$A$4:$A$103,0)),0))</x:f>
      </x:c>
      <x:c r="D68" t="str">
        <x:f>IF(C68="","",IFERROR(INDEX('APPROVAL POLICY'!$D$2:$D$5,MATCH(C68,'APPROVAL POLICY'!$B$2:$B$5,1)),"CHECK POLICY"))</x:f>
      </x:c>
      <x:c r="E68" t="str">
        <x:f>IF(C68="","",IFERROR(INDEX('APPROVAL POLICY'!$E$2:$E$5,MATCH(C68,'APPROVAL POLICY'!$B$2:$B$5,1)),"CHECK POLICY"))</x:f>
      </x:c>
      <x:c r="I68" s="12"/>
      <x:c r="L68" s="12"/>
      <x:c r="M68" t="str">
        <x:f>IF(B68="","",IF(P68&lt;&gt;"VALID","BLOCKED - INVALID PO",IF(OR(G68="",H68&lt;&gt;"Approved",I68="",G68=F68),"HOLD",IF(E68="Yes",IF(AND(J68&lt;&gt;"",K68="Approved",L68&lt;&gt;"",J68&lt;&gt;G68,J68&lt;&gt;F68),"RELEASE ELIGIBLE","HOLD"),"RELEASE ELIGIBLE"))))</x:f>
      </x:c>
      <x:c r="P68" t="str">
        <x:f>IF(B68="","",IF(COUNTIF('PO MASTER'!$A$4:$A$103,B68)=1,"VALID","INVALID PO ID"))</x:f>
      </x:c>
    </x:row>
    <x:row r="69">
      <x:c r="C69" s="20" t="str">
        <x:f>IF(B69="","",IFERROR(INDEX('PO MASTER'!$L$4:$L$103,MATCH(B69,'PO MASTER'!$A$4:$A$103,0)),0))</x:f>
      </x:c>
      <x:c r="D69" t="str">
        <x:f>IF(C69="","",IFERROR(INDEX('APPROVAL POLICY'!$D$2:$D$5,MATCH(C69,'APPROVAL POLICY'!$B$2:$B$5,1)),"CHECK POLICY"))</x:f>
      </x:c>
      <x:c r="E69" t="str">
        <x:f>IF(C69="","",IFERROR(INDEX('APPROVAL POLICY'!$E$2:$E$5,MATCH(C69,'APPROVAL POLICY'!$B$2:$B$5,1)),"CHECK POLICY"))</x:f>
      </x:c>
      <x:c r="I69" s="12"/>
      <x:c r="L69" s="12"/>
      <x:c r="M69" t="str">
        <x:f>IF(B69="","",IF(P69&lt;&gt;"VALID","BLOCKED - INVALID PO",IF(OR(G69="",H69&lt;&gt;"Approved",I69="",G69=F69),"HOLD",IF(E69="Yes",IF(AND(J69&lt;&gt;"",K69="Approved",L69&lt;&gt;"",J69&lt;&gt;G69,J69&lt;&gt;F69),"RELEASE ELIGIBLE","HOLD"),"RELEASE ELIGIBLE"))))</x:f>
      </x:c>
      <x:c r="P69" t="str">
        <x:f>IF(B69="","",IF(COUNTIF('PO MASTER'!$A$4:$A$103,B69)=1,"VALID","INVALID PO ID"))</x:f>
      </x:c>
    </x:row>
    <x:row r="70">
      <x:c r="C70" s="20" t="str">
        <x:f>IF(B70="","",IFERROR(INDEX('PO MASTER'!$L$4:$L$103,MATCH(B70,'PO MASTER'!$A$4:$A$103,0)),0))</x:f>
      </x:c>
      <x:c r="D70" t="str">
        <x:f>IF(C70="","",IFERROR(INDEX('APPROVAL POLICY'!$D$2:$D$5,MATCH(C70,'APPROVAL POLICY'!$B$2:$B$5,1)),"CHECK POLICY"))</x:f>
      </x:c>
      <x:c r="E70" t="str">
        <x:f>IF(C70="","",IFERROR(INDEX('APPROVAL POLICY'!$E$2:$E$5,MATCH(C70,'APPROVAL POLICY'!$B$2:$B$5,1)),"CHECK POLICY"))</x:f>
      </x:c>
      <x:c r="I70" s="12"/>
      <x:c r="L70" s="12"/>
      <x:c r="M70" t="str">
        <x:f>IF(B70="","",IF(P70&lt;&gt;"VALID","BLOCKED - INVALID PO",IF(OR(G70="",H70&lt;&gt;"Approved",I70="",G70=F70),"HOLD",IF(E70="Yes",IF(AND(J70&lt;&gt;"",K70="Approved",L70&lt;&gt;"",J70&lt;&gt;G70,J70&lt;&gt;F70),"RELEASE ELIGIBLE","HOLD"),"RELEASE ELIGIBLE"))))</x:f>
      </x:c>
      <x:c r="P70" t="str">
        <x:f>IF(B70="","",IF(COUNTIF('PO MASTER'!$A$4:$A$103,B70)=1,"VALID","INVALID PO ID"))</x:f>
      </x:c>
    </x:row>
    <x:row r="71">
      <x:c r="C71" s="20" t="str">
        <x:f>IF(B71="","",IFERROR(INDEX('PO MASTER'!$L$4:$L$103,MATCH(B71,'PO MASTER'!$A$4:$A$103,0)),0))</x:f>
      </x:c>
      <x:c r="D71" t="str">
        <x:f>IF(C71="","",IFERROR(INDEX('APPROVAL POLICY'!$D$2:$D$5,MATCH(C71,'APPROVAL POLICY'!$B$2:$B$5,1)),"CHECK POLICY"))</x:f>
      </x:c>
      <x:c r="E71" t="str">
        <x:f>IF(C71="","",IFERROR(INDEX('APPROVAL POLICY'!$E$2:$E$5,MATCH(C71,'APPROVAL POLICY'!$B$2:$B$5,1)),"CHECK POLICY"))</x:f>
      </x:c>
      <x:c r="I71" s="12"/>
      <x:c r="L71" s="12"/>
      <x:c r="M71" t="str">
        <x:f>IF(B71="","",IF(P71&lt;&gt;"VALID","BLOCKED - INVALID PO",IF(OR(G71="",H71&lt;&gt;"Approved",I71="",G71=F71),"HOLD",IF(E71="Yes",IF(AND(J71&lt;&gt;"",K71="Approved",L71&lt;&gt;"",J71&lt;&gt;G71,J71&lt;&gt;F71),"RELEASE ELIGIBLE","HOLD"),"RELEASE ELIGIBLE"))))</x:f>
      </x:c>
      <x:c r="P71" t="str">
        <x:f>IF(B71="","",IF(COUNTIF('PO MASTER'!$A$4:$A$103,B71)=1,"VALID","INVALID PO ID"))</x:f>
      </x:c>
    </x:row>
    <x:row r="72">
      <x:c r="C72" s="20" t="str">
        <x:f>IF(B72="","",IFERROR(INDEX('PO MASTER'!$L$4:$L$103,MATCH(B72,'PO MASTER'!$A$4:$A$103,0)),0))</x:f>
      </x:c>
      <x:c r="D72" t="str">
        <x:f>IF(C72="","",IFERROR(INDEX('APPROVAL POLICY'!$D$2:$D$5,MATCH(C72,'APPROVAL POLICY'!$B$2:$B$5,1)),"CHECK POLICY"))</x:f>
      </x:c>
      <x:c r="E72" t="str">
        <x:f>IF(C72="","",IFERROR(INDEX('APPROVAL POLICY'!$E$2:$E$5,MATCH(C72,'APPROVAL POLICY'!$B$2:$B$5,1)),"CHECK POLICY"))</x:f>
      </x:c>
      <x:c r="I72" s="12"/>
      <x:c r="L72" s="12"/>
      <x:c r="M72" t="str">
        <x:f>IF(B72="","",IF(P72&lt;&gt;"VALID","BLOCKED - INVALID PO",IF(OR(G72="",H72&lt;&gt;"Approved",I72="",G72=F72),"HOLD",IF(E72="Yes",IF(AND(J72&lt;&gt;"",K72="Approved",L72&lt;&gt;"",J72&lt;&gt;G72,J72&lt;&gt;F72),"RELEASE ELIGIBLE","HOLD"),"RELEASE ELIGIBLE"))))</x:f>
      </x:c>
      <x:c r="P72" t="str">
        <x:f>IF(B72="","",IF(COUNTIF('PO MASTER'!$A$4:$A$103,B72)=1,"VALID","INVALID PO ID"))</x:f>
      </x:c>
    </x:row>
    <x:row r="73">
      <x:c r="C73" s="20" t="str">
        <x:f>IF(B73="","",IFERROR(INDEX('PO MASTER'!$L$4:$L$103,MATCH(B73,'PO MASTER'!$A$4:$A$103,0)),0))</x:f>
      </x:c>
      <x:c r="D73" t="str">
        <x:f>IF(C73="","",IFERROR(INDEX('APPROVAL POLICY'!$D$2:$D$5,MATCH(C73,'APPROVAL POLICY'!$B$2:$B$5,1)),"CHECK POLICY"))</x:f>
      </x:c>
      <x:c r="E73" t="str">
        <x:f>IF(C73="","",IFERROR(INDEX('APPROVAL POLICY'!$E$2:$E$5,MATCH(C73,'APPROVAL POLICY'!$B$2:$B$5,1)),"CHECK POLICY"))</x:f>
      </x:c>
      <x:c r="I73" s="12"/>
      <x:c r="L73" s="12"/>
      <x:c r="M73" t="str">
        <x:f>IF(B73="","",IF(P73&lt;&gt;"VALID","BLOCKED - INVALID PO",IF(OR(G73="",H73&lt;&gt;"Approved",I73="",G73=F73),"HOLD",IF(E73="Yes",IF(AND(J73&lt;&gt;"",K73="Approved",L73&lt;&gt;"",J73&lt;&gt;G73,J73&lt;&gt;F73),"RELEASE ELIGIBLE","HOLD"),"RELEASE ELIGIBLE"))))</x:f>
      </x:c>
      <x:c r="P73" t="str">
        <x:f>IF(B73="","",IF(COUNTIF('PO MASTER'!$A$4:$A$103,B73)=1,"VALID","INVALID PO ID"))</x:f>
      </x:c>
    </x:row>
    <x:row r="74">
      <x:c r="C74" s="20" t="str">
        <x:f>IF(B74="","",IFERROR(INDEX('PO MASTER'!$L$4:$L$103,MATCH(B74,'PO MASTER'!$A$4:$A$103,0)),0))</x:f>
      </x:c>
      <x:c r="D74" t="str">
        <x:f>IF(C74="","",IFERROR(INDEX('APPROVAL POLICY'!$D$2:$D$5,MATCH(C74,'APPROVAL POLICY'!$B$2:$B$5,1)),"CHECK POLICY"))</x:f>
      </x:c>
      <x:c r="E74" t="str">
        <x:f>IF(C74="","",IFERROR(INDEX('APPROVAL POLICY'!$E$2:$E$5,MATCH(C74,'APPROVAL POLICY'!$B$2:$B$5,1)),"CHECK POLICY"))</x:f>
      </x:c>
      <x:c r="I74" s="12"/>
      <x:c r="L74" s="12"/>
      <x:c r="M74" t="str">
        <x:f>IF(B74="","",IF(P74&lt;&gt;"VALID","BLOCKED - INVALID PO",IF(OR(G74="",H74&lt;&gt;"Approved",I74="",G74=F74),"HOLD",IF(E74="Yes",IF(AND(J74&lt;&gt;"",K74="Approved",L74&lt;&gt;"",J74&lt;&gt;G74,J74&lt;&gt;F74),"RELEASE ELIGIBLE","HOLD"),"RELEASE ELIGIBLE"))))</x:f>
      </x:c>
      <x:c r="P74" t="str">
        <x:f>IF(B74="","",IF(COUNTIF('PO MASTER'!$A$4:$A$103,B74)=1,"VALID","INVALID PO ID"))</x:f>
      </x:c>
    </x:row>
    <x:row r="75">
      <x:c r="C75" s="20" t="str">
        <x:f>IF(B75="","",IFERROR(INDEX('PO MASTER'!$L$4:$L$103,MATCH(B75,'PO MASTER'!$A$4:$A$103,0)),0))</x:f>
      </x:c>
      <x:c r="D75" t="str">
        <x:f>IF(C75="","",IFERROR(INDEX('APPROVAL POLICY'!$D$2:$D$5,MATCH(C75,'APPROVAL POLICY'!$B$2:$B$5,1)),"CHECK POLICY"))</x:f>
      </x:c>
      <x:c r="E75" t="str">
        <x:f>IF(C75="","",IFERROR(INDEX('APPROVAL POLICY'!$E$2:$E$5,MATCH(C75,'APPROVAL POLICY'!$B$2:$B$5,1)),"CHECK POLICY"))</x:f>
      </x:c>
      <x:c r="I75" s="12"/>
      <x:c r="L75" s="12"/>
      <x:c r="M75" t="str">
        <x:f>IF(B75="","",IF(P75&lt;&gt;"VALID","BLOCKED - INVALID PO",IF(OR(G75="",H75&lt;&gt;"Approved",I75="",G75=F75),"HOLD",IF(E75="Yes",IF(AND(J75&lt;&gt;"",K75="Approved",L75&lt;&gt;"",J75&lt;&gt;G75,J75&lt;&gt;F75),"RELEASE ELIGIBLE","HOLD"),"RELEASE ELIGIBLE"))))</x:f>
      </x:c>
      <x:c r="P75" t="str">
        <x:f>IF(B75="","",IF(COUNTIF('PO MASTER'!$A$4:$A$103,B75)=1,"VALID","INVALID PO ID"))</x:f>
      </x:c>
    </x:row>
    <x:row r="76">
      <x:c r="C76" s="20" t="str">
        <x:f>IF(B76="","",IFERROR(INDEX('PO MASTER'!$L$4:$L$103,MATCH(B76,'PO MASTER'!$A$4:$A$103,0)),0))</x:f>
      </x:c>
      <x:c r="D76" t="str">
        <x:f>IF(C76="","",IFERROR(INDEX('APPROVAL POLICY'!$D$2:$D$5,MATCH(C76,'APPROVAL POLICY'!$B$2:$B$5,1)),"CHECK POLICY"))</x:f>
      </x:c>
      <x:c r="E76" t="str">
        <x:f>IF(C76="","",IFERROR(INDEX('APPROVAL POLICY'!$E$2:$E$5,MATCH(C76,'APPROVAL POLICY'!$B$2:$B$5,1)),"CHECK POLICY"))</x:f>
      </x:c>
      <x:c r="I76" s="12"/>
      <x:c r="L76" s="12"/>
      <x:c r="M76" t="str">
        <x:f>IF(B76="","",IF(P76&lt;&gt;"VALID","BLOCKED - INVALID PO",IF(OR(G76="",H76&lt;&gt;"Approved",I76="",G76=F76),"HOLD",IF(E76="Yes",IF(AND(J76&lt;&gt;"",K76="Approved",L76&lt;&gt;"",J76&lt;&gt;G76,J76&lt;&gt;F76),"RELEASE ELIGIBLE","HOLD"),"RELEASE ELIGIBLE"))))</x:f>
      </x:c>
      <x:c r="P76" t="str">
        <x:f>IF(B76="","",IF(COUNTIF('PO MASTER'!$A$4:$A$103,B76)=1,"VALID","INVALID PO ID"))</x:f>
      </x:c>
    </x:row>
    <x:row r="77">
      <x:c r="C77" s="20" t="str">
        <x:f>IF(B77="","",IFERROR(INDEX('PO MASTER'!$L$4:$L$103,MATCH(B77,'PO MASTER'!$A$4:$A$103,0)),0))</x:f>
      </x:c>
      <x:c r="D77" t="str">
        <x:f>IF(C77="","",IFERROR(INDEX('APPROVAL POLICY'!$D$2:$D$5,MATCH(C77,'APPROVAL POLICY'!$B$2:$B$5,1)),"CHECK POLICY"))</x:f>
      </x:c>
      <x:c r="E77" t="str">
        <x:f>IF(C77="","",IFERROR(INDEX('APPROVAL POLICY'!$E$2:$E$5,MATCH(C77,'APPROVAL POLICY'!$B$2:$B$5,1)),"CHECK POLICY"))</x:f>
      </x:c>
      <x:c r="I77" s="12"/>
      <x:c r="L77" s="12"/>
      <x:c r="M77" t="str">
        <x:f>IF(B77="","",IF(P77&lt;&gt;"VALID","BLOCKED - INVALID PO",IF(OR(G77="",H77&lt;&gt;"Approved",I77="",G77=F77),"HOLD",IF(E77="Yes",IF(AND(J77&lt;&gt;"",K77="Approved",L77&lt;&gt;"",J77&lt;&gt;G77,J77&lt;&gt;F77),"RELEASE ELIGIBLE","HOLD"),"RELEASE ELIGIBLE"))))</x:f>
      </x:c>
      <x:c r="P77" t="str">
        <x:f>IF(B77="","",IF(COUNTIF('PO MASTER'!$A$4:$A$103,B77)=1,"VALID","INVALID PO ID"))</x:f>
      </x:c>
    </x:row>
    <x:row r="78">
      <x:c r="C78" s="20" t="str">
        <x:f>IF(B78="","",IFERROR(INDEX('PO MASTER'!$L$4:$L$103,MATCH(B78,'PO MASTER'!$A$4:$A$103,0)),0))</x:f>
      </x:c>
      <x:c r="D78" t="str">
        <x:f>IF(C78="","",IFERROR(INDEX('APPROVAL POLICY'!$D$2:$D$5,MATCH(C78,'APPROVAL POLICY'!$B$2:$B$5,1)),"CHECK POLICY"))</x:f>
      </x:c>
      <x:c r="E78" t="str">
        <x:f>IF(C78="","",IFERROR(INDEX('APPROVAL POLICY'!$E$2:$E$5,MATCH(C78,'APPROVAL POLICY'!$B$2:$B$5,1)),"CHECK POLICY"))</x:f>
      </x:c>
      <x:c r="I78" s="12"/>
      <x:c r="L78" s="12"/>
      <x:c r="M78" t="str">
        <x:f>IF(B78="","",IF(P78&lt;&gt;"VALID","BLOCKED - INVALID PO",IF(OR(G78="",H78&lt;&gt;"Approved",I78="",G78=F78),"HOLD",IF(E78="Yes",IF(AND(J78&lt;&gt;"",K78="Approved",L78&lt;&gt;"",J78&lt;&gt;G78,J78&lt;&gt;F78),"RELEASE ELIGIBLE","HOLD"),"RELEASE ELIGIBLE"))))</x:f>
      </x:c>
      <x:c r="P78" t="str">
        <x:f>IF(B78="","",IF(COUNTIF('PO MASTER'!$A$4:$A$103,B78)=1,"VALID","INVALID PO ID"))</x:f>
      </x:c>
    </x:row>
    <x:row r="79">
      <x:c r="C79" s="20" t="str">
        <x:f>IF(B79="","",IFERROR(INDEX('PO MASTER'!$L$4:$L$103,MATCH(B79,'PO MASTER'!$A$4:$A$103,0)),0))</x:f>
      </x:c>
      <x:c r="D79" t="str">
        <x:f>IF(C79="","",IFERROR(INDEX('APPROVAL POLICY'!$D$2:$D$5,MATCH(C79,'APPROVAL POLICY'!$B$2:$B$5,1)),"CHECK POLICY"))</x:f>
      </x:c>
      <x:c r="E79" t="str">
        <x:f>IF(C79="","",IFERROR(INDEX('APPROVAL POLICY'!$E$2:$E$5,MATCH(C79,'APPROVAL POLICY'!$B$2:$B$5,1)),"CHECK POLICY"))</x:f>
      </x:c>
      <x:c r="I79" s="12"/>
      <x:c r="L79" s="12"/>
      <x:c r="M79" t="str">
        <x:f>IF(B79="","",IF(P79&lt;&gt;"VALID","BLOCKED - INVALID PO",IF(OR(G79="",H79&lt;&gt;"Approved",I79="",G79=F79),"HOLD",IF(E79="Yes",IF(AND(J79&lt;&gt;"",K79="Approved",L79&lt;&gt;"",J79&lt;&gt;G79,J79&lt;&gt;F79),"RELEASE ELIGIBLE","HOLD"),"RELEASE ELIGIBLE"))))</x:f>
      </x:c>
      <x:c r="P79" t="str">
        <x:f>IF(B79="","",IF(COUNTIF('PO MASTER'!$A$4:$A$103,B79)=1,"VALID","INVALID PO ID"))</x:f>
      </x:c>
    </x:row>
    <x:row r="80">
      <x:c r="C80" s="20" t="str">
        <x:f>IF(B80="","",IFERROR(INDEX('PO MASTER'!$L$4:$L$103,MATCH(B80,'PO MASTER'!$A$4:$A$103,0)),0))</x:f>
      </x:c>
      <x:c r="D80" t="str">
        <x:f>IF(C80="","",IFERROR(INDEX('APPROVAL POLICY'!$D$2:$D$5,MATCH(C80,'APPROVAL POLICY'!$B$2:$B$5,1)),"CHECK POLICY"))</x:f>
      </x:c>
      <x:c r="E80" t="str">
        <x:f>IF(C80="","",IFERROR(INDEX('APPROVAL POLICY'!$E$2:$E$5,MATCH(C80,'APPROVAL POLICY'!$B$2:$B$5,1)),"CHECK POLICY"))</x:f>
      </x:c>
      <x:c r="I80" s="12"/>
      <x:c r="L80" s="12"/>
      <x:c r="M80" t="str">
        <x:f>IF(B80="","",IF(P80&lt;&gt;"VALID","BLOCKED - INVALID PO",IF(OR(G80="",H80&lt;&gt;"Approved",I80="",G80=F80),"HOLD",IF(E80="Yes",IF(AND(J80&lt;&gt;"",K80="Approved",L80&lt;&gt;"",J80&lt;&gt;G80,J80&lt;&gt;F80),"RELEASE ELIGIBLE","HOLD"),"RELEASE ELIGIBLE"))))</x:f>
      </x:c>
      <x:c r="P80" t="str">
        <x:f>IF(B80="","",IF(COUNTIF('PO MASTER'!$A$4:$A$103,B80)=1,"VALID","INVALID PO ID"))</x:f>
      </x:c>
    </x:row>
    <x:row r="81">
      <x:c r="C81" s="20" t="str">
        <x:f>IF(B81="","",IFERROR(INDEX('PO MASTER'!$L$4:$L$103,MATCH(B81,'PO MASTER'!$A$4:$A$103,0)),0))</x:f>
      </x:c>
      <x:c r="D81" t="str">
        <x:f>IF(C81="","",IFERROR(INDEX('APPROVAL POLICY'!$D$2:$D$5,MATCH(C81,'APPROVAL POLICY'!$B$2:$B$5,1)),"CHECK POLICY"))</x:f>
      </x:c>
      <x:c r="E81" t="str">
        <x:f>IF(C81="","",IFERROR(INDEX('APPROVAL POLICY'!$E$2:$E$5,MATCH(C81,'APPROVAL POLICY'!$B$2:$B$5,1)),"CHECK POLICY"))</x:f>
      </x:c>
      <x:c r="I81" s="12"/>
      <x:c r="L81" s="12"/>
      <x:c r="M81" t="str">
        <x:f>IF(B81="","",IF(P81&lt;&gt;"VALID","BLOCKED - INVALID PO",IF(OR(G81="",H81&lt;&gt;"Approved",I81="",G81=F81),"HOLD",IF(E81="Yes",IF(AND(J81&lt;&gt;"",K81="Approved",L81&lt;&gt;"",J81&lt;&gt;G81,J81&lt;&gt;F81),"RELEASE ELIGIBLE","HOLD"),"RELEASE ELIGIBLE"))))</x:f>
      </x:c>
      <x:c r="P81" t="str">
        <x:f>IF(B81="","",IF(COUNTIF('PO MASTER'!$A$4:$A$103,B81)=1,"VALID","INVALID PO ID"))</x:f>
      </x:c>
    </x:row>
    <x:row r="82">
      <x:c r="C82" s="20" t="str">
        <x:f>IF(B82="","",IFERROR(INDEX('PO MASTER'!$L$4:$L$103,MATCH(B82,'PO MASTER'!$A$4:$A$103,0)),0))</x:f>
      </x:c>
      <x:c r="D82" t="str">
        <x:f>IF(C82="","",IFERROR(INDEX('APPROVAL POLICY'!$D$2:$D$5,MATCH(C82,'APPROVAL POLICY'!$B$2:$B$5,1)),"CHECK POLICY"))</x:f>
      </x:c>
      <x:c r="E82" t="str">
        <x:f>IF(C82="","",IFERROR(INDEX('APPROVAL POLICY'!$E$2:$E$5,MATCH(C82,'APPROVAL POLICY'!$B$2:$B$5,1)),"CHECK POLICY"))</x:f>
      </x:c>
      <x:c r="I82" s="12"/>
      <x:c r="L82" s="12"/>
      <x:c r="M82" t="str">
        <x:f>IF(B82="","",IF(P82&lt;&gt;"VALID","BLOCKED - INVALID PO",IF(OR(G82="",H82&lt;&gt;"Approved",I82="",G82=F82),"HOLD",IF(E82="Yes",IF(AND(J82&lt;&gt;"",K82="Approved",L82&lt;&gt;"",J82&lt;&gt;G82,J82&lt;&gt;F82),"RELEASE ELIGIBLE","HOLD"),"RELEASE ELIGIBLE"))))</x:f>
      </x:c>
      <x:c r="P82" t="str">
        <x:f>IF(B82="","",IF(COUNTIF('PO MASTER'!$A$4:$A$103,B82)=1,"VALID","INVALID PO ID"))</x:f>
      </x:c>
    </x:row>
    <x:row r="83">
      <x:c r="C83" s="20" t="str">
        <x:f>IF(B83="","",IFERROR(INDEX('PO MASTER'!$L$4:$L$103,MATCH(B83,'PO MASTER'!$A$4:$A$103,0)),0))</x:f>
      </x:c>
      <x:c r="D83" t="str">
        <x:f>IF(C83="","",IFERROR(INDEX('APPROVAL POLICY'!$D$2:$D$5,MATCH(C83,'APPROVAL POLICY'!$B$2:$B$5,1)),"CHECK POLICY"))</x:f>
      </x:c>
      <x:c r="E83" t="str">
        <x:f>IF(C83="","",IFERROR(INDEX('APPROVAL POLICY'!$E$2:$E$5,MATCH(C83,'APPROVAL POLICY'!$B$2:$B$5,1)),"CHECK POLICY"))</x:f>
      </x:c>
      <x:c r="I83" s="12"/>
      <x:c r="L83" s="12"/>
      <x:c r="M83" t="str">
        <x:f>IF(B83="","",IF(P83&lt;&gt;"VALID","BLOCKED - INVALID PO",IF(OR(G83="",H83&lt;&gt;"Approved",I83="",G83=F83),"HOLD",IF(E83="Yes",IF(AND(J83&lt;&gt;"",K83="Approved",L83&lt;&gt;"",J83&lt;&gt;G83,J83&lt;&gt;F83),"RELEASE ELIGIBLE","HOLD"),"RELEASE ELIGIBLE"))))</x:f>
      </x:c>
      <x:c r="P83" t="str">
        <x:f>IF(B83="","",IF(COUNTIF('PO MASTER'!$A$4:$A$103,B83)=1,"VALID","INVALID PO ID"))</x:f>
      </x:c>
    </x:row>
    <x:row r="84">
      <x:c r="C84" s="20" t="str">
        <x:f>IF(B84="","",IFERROR(INDEX('PO MASTER'!$L$4:$L$103,MATCH(B84,'PO MASTER'!$A$4:$A$103,0)),0))</x:f>
      </x:c>
      <x:c r="D84" t="str">
        <x:f>IF(C84="","",IFERROR(INDEX('APPROVAL POLICY'!$D$2:$D$5,MATCH(C84,'APPROVAL POLICY'!$B$2:$B$5,1)),"CHECK POLICY"))</x:f>
      </x:c>
      <x:c r="E84" t="str">
        <x:f>IF(C84="","",IFERROR(INDEX('APPROVAL POLICY'!$E$2:$E$5,MATCH(C84,'APPROVAL POLICY'!$B$2:$B$5,1)),"CHECK POLICY"))</x:f>
      </x:c>
      <x:c r="I84" s="12"/>
      <x:c r="L84" s="12"/>
      <x:c r="M84" t="str">
        <x:f>IF(B84="","",IF(P84&lt;&gt;"VALID","BLOCKED - INVALID PO",IF(OR(G84="",H84&lt;&gt;"Approved",I84="",G84=F84),"HOLD",IF(E84="Yes",IF(AND(J84&lt;&gt;"",K84="Approved",L84&lt;&gt;"",J84&lt;&gt;G84,J84&lt;&gt;F84),"RELEASE ELIGIBLE","HOLD"),"RELEASE ELIGIBLE"))))</x:f>
      </x:c>
      <x:c r="P84" t="str">
        <x:f>IF(B84="","",IF(COUNTIF('PO MASTER'!$A$4:$A$103,B84)=1,"VALID","INVALID PO ID"))</x:f>
      </x:c>
    </x:row>
    <x:row r="85">
      <x:c r="C85" s="20" t="str">
        <x:f>IF(B85="","",IFERROR(INDEX('PO MASTER'!$L$4:$L$103,MATCH(B85,'PO MASTER'!$A$4:$A$103,0)),0))</x:f>
      </x:c>
      <x:c r="D85" t="str">
        <x:f>IF(C85="","",IFERROR(INDEX('APPROVAL POLICY'!$D$2:$D$5,MATCH(C85,'APPROVAL POLICY'!$B$2:$B$5,1)),"CHECK POLICY"))</x:f>
      </x:c>
      <x:c r="E85" t="str">
        <x:f>IF(C85="","",IFERROR(INDEX('APPROVAL POLICY'!$E$2:$E$5,MATCH(C85,'APPROVAL POLICY'!$B$2:$B$5,1)),"CHECK POLICY"))</x:f>
      </x:c>
      <x:c r="I85" s="12"/>
      <x:c r="L85" s="12"/>
      <x:c r="M85" t="str">
        <x:f>IF(B85="","",IF(P85&lt;&gt;"VALID","BLOCKED - INVALID PO",IF(OR(G85="",H85&lt;&gt;"Approved",I85="",G85=F85),"HOLD",IF(E85="Yes",IF(AND(J85&lt;&gt;"",K85="Approved",L85&lt;&gt;"",J85&lt;&gt;G85,J85&lt;&gt;F85),"RELEASE ELIGIBLE","HOLD"),"RELEASE ELIGIBLE"))))</x:f>
      </x:c>
      <x:c r="P85" t="str">
        <x:f>IF(B85="","",IF(COUNTIF('PO MASTER'!$A$4:$A$103,B85)=1,"VALID","INVALID PO ID"))</x:f>
      </x:c>
    </x:row>
    <x:row r="86">
      <x:c r="C86" s="20" t="str">
        <x:f>IF(B86="","",IFERROR(INDEX('PO MASTER'!$L$4:$L$103,MATCH(B86,'PO MASTER'!$A$4:$A$103,0)),0))</x:f>
      </x:c>
      <x:c r="D86" t="str">
        <x:f>IF(C86="","",IFERROR(INDEX('APPROVAL POLICY'!$D$2:$D$5,MATCH(C86,'APPROVAL POLICY'!$B$2:$B$5,1)),"CHECK POLICY"))</x:f>
      </x:c>
      <x:c r="E86" t="str">
        <x:f>IF(C86="","",IFERROR(INDEX('APPROVAL POLICY'!$E$2:$E$5,MATCH(C86,'APPROVAL POLICY'!$B$2:$B$5,1)),"CHECK POLICY"))</x:f>
      </x:c>
      <x:c r="I86" s="12"/>
      <x:c r="L86" s="12"/>
      <x:c r="M86" t="str">
        <x:f>IF(B86="","",IF(P86&lt;&gt;"VALID","BLOCKED - INVALID PO",IF(OR(G86="",H86&lt;&gt;"Approved",I86="",G86=F86),"HOLD",IF(E86="Yes",IF(AND(J86&lt;&gt;"",K86="Approved",L86&lt;&gt;"",J86&lt;&gt;G86,J86&lt;&gt;F86),"RELEASE ELIGIBLE","HOLD"),"RELEASE ELIGIBLE"))))</x:f>
      </x:c>
      <x:c r="P86" t="str">
        <x:f>IF(B86="","",IF(COUNTIF('PO MASTER'!$A$4:$A$103,B86)=1,"VALID","INVALID PO ID"))</x:f>
      </x:c>
    </x:row>
    <x:row r="87">
      <x:c r="C87" s="20" t="str">
        <x:f>IF(B87="","",IFERROR(INDEX('PO MASTER'!$L$4:$L$103,MATCH(B87,'PO MASTER'!$A$4:$A$103,0)),0))</x:f>
      </x:c>
      <x:c r="D87" t="str">
        <x:f>IF(C87="","",IFERROR(INDEX('APPROVAL POLICY'!$D$2:$D$5,MATCH(C87,'APPROVAL POLICY'!$B$2:$B$5,1)),"CHECK POLICY"))</x:f>
      </x:c>
      <x:c r="E87" t="str">
        <x:f>IF(C87="","",IFERROR(INDEX('APPROVAL POLICY'!$E$2:$E$5,MATCH(C87,'APPROVAL POLICY'!$B$2:$B$5,1)),"CHECK POLICY"))</x:f>
      </x:c>
      <x:c r="I87" s="12"/>
      <x:c r="L87" s="12"/>
      <x:c r="M87" t="str">
        <x:f>IF(B87="","",IF(P87&lt;&gt;"VALID","BLOCKED - INVALID PO",IF(OR(G87="",H87&lt;&gt;"Approved",I87="",G87=F87),"HOLD",IF(E87="Yes",IF(AND(J87&lt;&gt;"",K87="Approved",L87&lt;&gt;"",J87&lt;&gt;G87,J87&lt;&gt;F87),"RELEASE ELIGIBLE","HOLD"),"RELEASE ELIGIBLE"))))</x:f>
      </x:c>
      <x:c r="P87" t="str">
        <x:f>IF(B87="","",IF(COUNTIF('PO MASTER'!$A$4:$A$103,B87)=1,"VALID","INVALID PO ID"))</x:f>
      </x:c>
    </x:row>
    <x:row r="88">
      <x:c r="C88" s="20" t="str">
        <x:f>IF(B88="","",IFERROR(INDEX('PO MASTER'!$L$4:$L$103,MATCH(B88,'PO MASTER'!$A$4:$A$103,0)),0))</x:f>
      </x:c>
      <x:c r="D88" t="str">
        <x:f>IF(C88="","",IFERROR(INDEX('APPROVAL POLICY'!$D$2:$D$5,MATCH(C88,'APPROVAL POLICY'!$B$2:$B$5,1)),"CHECK POLICY"))</x:f>
      </x:c>
      <x:c r="E88" t="str">
        <x:f>IF(C88="","",IFERROR(INDEX('APPROVAL POLICY'!$E$2:$E$5,MATCH(C88,'APPROVAL POLICY'!$B$2:$B$5,1)),"CHECK POLICY"))</x:f>
      </x:c>
      <x:c r="I88" s="12"/>
      <x:c r="L88" s="12"/>
      <x:c r="M88" t="str">
        <x:f>IF(B88="","",IF(P88&lt;&gt;"VALID","BLOCKED - INVALID PO",IF(OR(G88="",H88&lt;&gt;"Approved",I88="",G88=F88),"HOLD",IF(E88="Yes",IF(AND(J88&lt;&gt;"",K88="Approved",L88&lt;&gt;"",J88&lt;&gt;G88,J88&lt;&gt;F88),"RELEASE ELIGIBLE","HOLD"),"RELEASE ELIGIBLE"))))</x:f>
      </x:c>
      <x:c r="P88" t="str">
        <x:f>IF(B88="","",IF(COUNTIF('PO MASTER'!$A$4:$A$103,B88)=1,"VALID","INVALID PO ID"))</x:f>
      </x:c>
    </x:row>
    <x:row r="89">
      <x:c r="C89" s="20" t="str">
        <x:f>IF(B89="","",IFERROR(INDEX('PO MASTER'!$L$4:$L$103,MATCH(B89,'PO MASTER'!$A$4:$A$103,0)),0))</x:f>
      </x:c>
      <x:c r="D89" t="str">
        <x:f>IF(C89="","",IFERROR(INDEX('APPROVAL POLICY'!$D$2:$D$5,MATCH(C89,'APPROVAL POLICY'!$B$2:$B$5,1)),"CHECK POLICY"))</x:f>
      </x:c>
      <x:c r="E89" t="str">
        <x:f>IF(C89="","",IFERROR(INDEX('APPROVAL POLICY'!$E$2:$E$5,MATCH(C89,'APPROVAL POLICY'!$B$2:$B$5,1)),"CHECK POLICY"))</x:f>
      </x:c>
      <x:c r="I89" s="12"/>
      <x:c r="L89" s="12"/>
      <x:c r="M89" t="str">
        <x:f>IF(B89="","",IF(P89&lt;&gt;"VALID","BLOCKED - INVALID PO",IF(OR(G89="",H89&lt;&gt;"Approved",I89="",G89=F89),"HOLD",IF(E89="Yes",IF(AND(J89&lt;&gt;"",K89="Approved",L89&lt;&gt;"",J89&lt;&gt;G89,J89&lt;&gt;F89),"RELEASE ELIGIBLE","HOLD"),"RELEASE ELIGIBLE"))))</x:f>
      </x:c>
      <x:c r="P89" t="str">
        <x:f>IF(B89="","",IF(COUNTIF('PO MASTER'!$A$4:$A$103,B89)=1,"VALID","INVALID PO ID"))</x:f>
      </x:c>
    </x:row>
    <x:row r="90">
      <x:c r="C90" s="20" t="str">
        <x:f>IF(B90="","",IFERROR(INDEX('PO MASTER'!$L$4:$L$103,MATCH(B90,'PO MASTER'!$A$4:$A$103,0)),0))</x:f>
      </x:c>
      <x:c r="D90" t="str">
        <x:f>IF(C90="","",IFERROR(INDEX('APPROVAL POLICY'!$D$2:$D$5,MATCH(C90,'APPROVAL POLICY'!$B$2:$B$5,1)),"CHECK POLICY"))</x:f>
      </x:c>
      <x:c r="E90" t="str">
        <x:f>IF(C90="","",IFERROR(INDEX('APPROVAL POLICY'!$E$2:$E$5,MATCH(C90,'APPROVAL POLICY'!$B$2:$B$5,1)),"CHECK POLICY"))</x:f>
      </x:c>
      <x:c r="I90" s="12"/>
      <x:c r="L90" s="12"/>
      <x:c r="M90" t="str">
        <x:f>IF(B90="","",IF(P90&lt;&gt;"VALID","BLOCKED - INVALID PO",IF(OR(G90="",H90&lt;&gt;"Approved",I90="",G90=F90),"HOLD",IF(E90="Yes",IF(AND(J90&lt;&gt;"",K90="Approved",L90&lt;&gt;"",J90&lt;&gt;G90,J90&lt;&gt;F90),"RELEASE ELIGIBLE","HOLD"),"RELEASE ELIGIBLE"))))</x:f>
      </x:c>
      <x:c r="P90" t="str">
        <x:f>IF(B90="","",IF(COUNTIF('PO MASTER'!$A$4:$A$103,B90)=1,"VALID","INVALID PO ID"))</x:f>
      </x:c>
    </x:row>
    <x:row r="91">
      <x:c r="C91" s="20" t="str">
        <x:f>IF(B91="","",IFERROR(INDEX('PO MASTER'!$L$4:$L$103,MATCH(B91,'PO MASTER'!$A$4:$A$103,0)),0))</x:f>
      </x:c>
      <x:c r="D91" t="str">
        <x:f>IF(C91="","",IFERROR(INDEX('APPROVAL POLICY'!$D$2:$D$5,MATCH(C91,'APPROVAL POLICY'!$B$2:$B$5,1)),"CHECK POLICY"))</x:f>
      </x:c>
      <x:c r="E91" t="str">
        <x:f>IF(C91="","",IFERROR(INDEX('APPROVAL POLICY'!$E$2:$E$5,MATCH(C91,'APPROVAL POLICY'!$B$2:$B$5,1)),"CHECK POLICY"))</x:f>
      </x:c>
      <x:c r="I91" s="12"/>
      <x:c r="L91" s="12"/>
      <x:c r="M91" t="str">
        <x:f>IF(B91="","",IF(P91&lt;&gt;"VALID","BLOCKED - INVALID PO",IF(OR(G91="",H91&lt;&gt;"Approved",I91="",G91=F91),"HOLD",IF(E91="Yes",IF(AND(J91&lt;&gt;"",K91="Approved",L91&lt;&gt;"",J91&lt;&gt;G91,J91&lt;&gt;F91),"RELEASE ELIGIBLE","HOLD"),"RELEASE ELIGIBLE"))))</x:f>
      </x:c>
      <x:c r="P91" t="str">
        <x:f>IF(B91="","",IF(COUNTIF('PO MASTER'!$A$4:$A$103,B91)=1,"VALID","INVALID PO ID"))</x:f>
      </x:c>
    </x:row>
    <x:row r="92">
      <x:c r="C92" s="20" t="str">
        <x:f>IF(B92="","",IFERROR(INDEX('PO MASTER'!$L$4:$L$103,MATCH(B92,'PO MASTER'!$A$4:$A$103,0)),0))</x:f>
      </x:c>
      <x:c r="D92" t="str">
        <x:f>IF(C92="","",IFERROR(INDEX('APPROVAL POLICY'!$D$2:$D$5,MATCH(C92,'APPROVAL POLICY'!$B$2:$B$5,1)),"CHECK POLICY"))</x:f>
      </x:c>
      <x:c r="E92" t="str">
        <x:f>IF(C92="","",IFERROR(INDEX('APPROVAL POLICY'!$E$2:$E$5,MATCH(C92,'APPROVAL POLICY'!$B$2:$B$5,1)),"CHECK POLICY"))</x:f>
      </x:c>
      <x:c r="I92" s="12"/>
      <x:c r="L92" s="12"/>
      <x:c r="M92" t="str">
        <x:f>IF(B92="","",IF(P92&lt;&gt;"VALID","BLOCKED - INVALID PO",IF(OR(G92="",H92&lt;&gt;"Approved",I92="",G92=F92),"HOLD",IF(E92="Yes",IF(AND(J92&lt;&gt;"",K92="Approved",L92&lt;&gt;"",J92&lt;&gt;G92,J92&lt;&gt;F92),"RELEASE ELIGIBLE","HOLD"),"RELEASE ELIGIBLE"))))</x:f>
      </x:c>
      <x:c r="P92" t="str">
        <x:f>IF(B92="","",IF(COUNTIF('PO MASTER'!$A$4:$A$103,B92)=1,"VALID","INVALID PO ID"))</x:f>
      </x:c>
    </x:row>
    <x:row r="93">
      <x:c r="C93" s="20" t="str">
        <x:f>IF(B93="","",IFERROR(INDEX('PO MASTER'!$L$4:$L$103,MATCH(B93,'PO MASTER'!$A$4:$A$103,0)),0))</x:f>
      </x:c>
      <x:c r="D93" t="str">
        <x:f>IF(C93="","",IFERROR(INDEX('APPROVAL POLICY'!$D$2:$D$5,MATCH(C93,'APPROVAL POLICY'!$B$2:$B$5,1)),"CHECK POLICY"))</x:f>
      </x:c>
      <x:c r="E93" t="str">
        <x:f>IF(C93="","",IFERROR(INDEX('APPROVAL POLICY'!$E$2:$E$5,MATCH(C93,'APPROVAL POLICY'!$B$2:$B$5,1)),"CHECK POLICY"))</x:f>
      </x:c>
      <x:c r="I93" s="12"/>
      <x:c r="L93" s="12"/>
      <x:c r="M93" t="str">
        <x:f>IF(B93="","",IF(P93&lt;&gt;"VALID","BLOCKED - INVALID PO",IF(OR(G93="",H93&lt;&gt;"Approved",I93="",G93=F93),"HOLD",IF(E93="Yes",IF(AND(J93&lt;&gt;"",K93="Approved",L93&lt;&gt;"",J93&lt;&gt;G93,J93&lt;&gt;F93),"RELEASE ELIGIBLE","HOLD"),"RELEASE ELIGIBLE"))))</x:f>
      </x:c>
      <x:c r="P93" t="str">
        <x:f>IF(B93="","",IF(COUNTIF('PO MASTER'!$A$4:$A$103,B93)=1,"VALID","INVALID PO ID"))</x:f>
      </x:c>
    </x:row>
    <x:row r="94">
      <x:c r="C94" s="20" t="str">
        <x:f>IF(B94="","",IFERROR(INDEX('PO MASTER'!$L$4:$L$103,MATCH(B94,'PO MASTER'!$A$4:$A$103,0)),0))</x:f>
      </x:c>
      <x:c r="D94" t="str">
        <x:f>IF(C94="","",IFERROR(INDEX('APPROVAL POLICY'!$D$2:$D$5,MATCH(C94,'APPROVAL POLICY'!$B$2:$B$5,1)),"CHECK POLICY"))</x:f>
      </x:c>
      <x:c r="E94" t="str">
        <x:f>IF(C94="","",IFERROR(INDEX('APPROVAL POLICY'!$E$2:$E$5,MATCH(C94,'APPROVAL POLICY'!$B$2:$B$5,1)),"CHECK POLICY"))</x:f>
      </x:c>
      <x:c r="I94" s="12"/>
      <x:c r="L94" s="12"/>
      <x:c r="M94" t="str">
        <x:f>IF(B94="","",IF(P94&lt;&gt;"VALID","BLOCKED - INVALID PO",IF(OR(G94="",H94&lt;&gt;"Approved",I94="",G94=F94),"HOLD",IF(E94="Yes",IF(AND(J94&lt;&gt;"",K94="Approved",L94&lt;&gt;"",J94&lt;&gt;G94,J94&lt;&gt;F94),"RELEASE ELIGIBLE","HOLD"),"RELEASE ELIGIBLE"))))</x:f>
      </x:c>
      <x:c r="P94" t="str">
        <x:f>IF(B94="","",IF(COUNTIF('PO MASTER'!$A$4:$A$103,B94)=1,"VALID","INVALID PO ID"))</x:f>
      </x:c>
    </x:row>
    <x:row r="95">
      <x:c r="C95" s="20" t="str">
        <x:f>IF(B95="","",IFERROR(INDEX('PO MASTER'!$L$4:$L$103,MATCH(B95,'PO MASTER'!$A$4:$A$103,0)),0))</x:f>
      </x:c>
      <x:c r="D95" t="str">
        <x:f>IF(C95="","",IFERROR(INDEX('APPROVAL POLICY'!$D$2:$D$5,MATCH(C95,'APPROVAL POLICY'!$B$2:$B$5,1)),"CHECK POLICY"))</x:f>
      </x:c>
      <x:c r="E95" t="str">
        <x:f>IF(C95="","",IFERROR(INDEX('APPROVAL POLICY'!$E$2:$E$5,MATCH(C95,'APPROVAL POLICY'!$B$2:$B$5,1)),"CHECK POLICY"))</x:f>
      </x:c>
      <x:c r="I95" s="12"/>
      <x:c r="L95" s="12"/>
      <x:c r="M95" t="str">
        <x:f>IF(B95="","",IF(P95&lt;&gt;"VALID","BLOCKED - INVALID PO",IF(OR(G95="",H95&lt;&gt;"Approved",I95="",G95=F95),"HOLD",IF(E95="Yes",IF(AND(J95&lt;&gt;"",K95="Approved",L95&lt;&gt;"",J95&lt;&gt;G95,J95&lt;&gt;F95),"RELEASE ELIGIBLE","HOLD"),"RELEASE ELIGIBLE"))))</x:f>
      </x:c>
      <x:c r="P95" t="str">
        <x:f>IF(B95="","",IF(COUNTIF('PO MASTER'!$A$4:$A$103,B95)=1,"VALID","INVALID PO ID"))</x:f>
      </x:c>
    </x:row>
    <x:row r="96">
      <x:c r="C96" s="20" t="str">
        <x:f>IF(B96="","",IFERROR(INDEX('PO MASTER'!$L$4:$L$103,MATCH(B96,'PO MASTER'!$A$4:$A$103,0)),0))</x:f>
      </x:c>
      <x:c r="D96" t="str">
        <x:f>IF(C96="","",IFERROR(INDEX('APPROVAL POLICY'!$D$2:$D$5,MATCH(C96,'APPROVAL POLICY'!$B$2:$B$5,1)),"CHECK POLICY"))</x:f>
      </x:c>
      <x:c r="E96" t="str">
        <x:f>IF(C96="","",IFERROR(INDEX('APPROVAL POLICY'!$E$2:$E$5,MATCH(C96,'APPROVAL POLICY'!$B$2:$B$5,1)),"CHECK POLICY"))</x:f>
      </x:c>
      <x:c r="I96" s="12"/>
      <x:c r="L96" s="12"/>
      <x:c r="M96" t="str">
        <x:f>IF(B96="","",IF(P96&lt;&gt;"VALID","BLOCKED - INVALID PO",IF(OR(G96="",H96&lt;&gt;"Approved",I96="",G96=F96),"HOLD",IF(E96="Yes",IF(AND(J96&lt;&gt;"",K96="Approved",L96&lt;&gt;"",J96&lt;&gt;G96,J96&lt;&gt;F96),"RELEASE ELIGIBLE","HOLD"),"RELEASE ELIGIBLE"))))</x:f>
      </x:c>
      <x:c r="P96" t="str">
        <x:f>IF(B96="","",IF(COUNTIF('PO MASTER'!$A$4:$A$103,B96)=1,"VALID","INVALID PO ID"))</x:f>
      </x:c>
    </x:row>
    <x:row r="97">
      <x:c r="C97" s="20" t="str">
        <x:f>IF(B97="","",IFERROR(INDEX('PO MASTER'!$L$4:$L$103,MATCH(B97,'PO MASTER'!$A$4:$A$103,0)),0))</x:f>
      </x:c>
      <x:c r="D97" t="str">
        <x:f>IF(C97="","",IFERROR(INDEX('APPROVAL POLICY'!$D$2:$D$5,MATCH(C97,'APPROVAL POLICY'!$B$2:$B$5,1)),"CHECK POLICY"))</x:f>
      </x:c>
      <x:c r="E97" t="str">
        <x:f>IF(C97="","",IFERROR(INDEX('APPROVAL POLICY'!$E$2:$E$5,MATCH(C97,'APPROVAL POLICY'!$B$2:$B$5,1)),"CHECK POLICY"))</x:f>
      </x:c>
      <x:c r="I97" s="12"/>
      <x:c r="L97" s="12"/>
      <x:c r="M97" t="str">
        <x:f>IF(B97="","",IF(P97&lt;&gt;"VALID","BLOCKED - INVALID PO",IF(OR(G97="",H97&lt;&gt;"Approved",I97="",G97=F97),"HOLD",IF(E97="Yes",IF(AND(J97&lt;&gt;"",K97="Approved",L97&lt;&gt;"",J97&lt;&gt;G97,J97&lt;&gt;F97),"RELEASE ELIGIBLE","HOLD"),"RELEASE ELIGIBLE"))))</x:f>
      </x:c>
      <x:c r="P97" t="str">
        <x:f>IF(B97="","",IF(COUNTIF('PO MASTER'!$A$4:$A$103,B97)=1,"VALID","INVALID PO ID"))</x:f>
      </x:c>
    </x:row>
    <x:row r="98">
      <x:c r="C98" s="20" t="str">
        <x:f>IF(B98="","",IFERROR(INDEX('PO MASTER'!$L$4:$L$103,MATCH(B98,'PO MASTER'!$A$4:$A$103,0)),0))</x:f>
      </x:c>
      <x:c r="D98" t="str">
        <x:f>IF(C98="","",IFERROR(INDEX('APPROVAL POLICY'!$D$2:$D$5,MATCH(C98,'APPROVAL POLICY'!$B$2:$B$5,1)),"CHECK POLICY"))</x:f>
      </x:c>
      <x:c r="E98" t="str">
        <x:f>IF(C98="","",IFERROR(INDEX('APPROVAL POLICY'!$E$2:$E$5,MATCH(C98,'APPROVAL POLICY'!$B$2:$B$5,1)),"CHECK POLICY"))</x:f>
      </x:c>
      <x:c r="I98" s="12"/>
      <x:c r="L98" s="12"/>
      <x:c r="M98" t="str">
        <x:f>IF(B98="","",IF(P98&lt;&gt;"VALID","BLOCKED - INVALID PO",IF(OR(G98="",H98&lt;&gt;"Approved",I98="",G98=F98),"HOLD",IF(E98="Yes",IF(AND(J98&lt;&gt;"",K98="Approved",L98&lt;&gt;"",J98&lt;&gt;G98,J98&lt;&gt;F98),"RELEASE ELIGIBLE","HOLD"),"RELEASE ELIGIBLE"))))</x:f>
      </x:c>
      <x:c r="P98" t="str">
        <x:f>IF(B98="","",IF(COUNTIF('PO MASTER'!$A$4:$A$103,B98)=1,"VALID","INVALID PO ID"))</x:f>
      </x:c>
    </x:row>
    <x:row r="99">
      <x:c r="C99" s="20" t="str">
        <x:f>IF(B99="","",IFERROR(INDEX('PO MASTER'!$L$4:$L$103,MATCH(B99,'PO MASTER'!$A$4:$A$103,0)),0))</x:f>
      </x:c>
      <x:c r="D99" t="str">
        <x:f>IF(C99="","",IFERROR(INDEX('APPROVAL POLICY'!$D$2:$D$5,MATCH(C99,'APPROVAL POLICY'!$B$2:$B$5,1)),"CHECK POLICY"))</x:f>
      </x:c>
      <x:c r="E99" t="str">
        <x:f>IF(C99="","",IFERROR(INDEX('APPROVAL POLICY'!$E$2:$E$5,MATCH(C99,'APPROVAL POLICY'!$B$2:$B$5,1)),"CHECK POLICY"))</x:f>
      </x:c>
      <x:c r="I99" s="12"/>
      <x:c r="L99" s="12"/>
      <x:c r="M99" t="str">
        <x:f>IF(B99="","",IF(P99&lt;&gt;"VALID","BLOCKED - INVALID PO",IF(OR(G99="",H99&lt;&gt;"Approved",I99="",G99=F99),"HOLD",IF(E99="Yes",IF(AND(J99&lt;&gt;"",K99="Approved",L99&lt;&gt;"",J99&lt;&gt;G99,J99&lt;&gt;F99),"RELEASE ELIGIBLE","HOLD"),"RELEASE ELIGIBLE"))))</x:f>
      </x:c>
      <x:c r="P99" t="str">
        <x:f>IF(B99="","",IF(COUNTIF('PO MASTER'!$A$4:$A$103,B99)=1,"VALID","INVALID PO ID"))</x:f>
      </x:c>
    </x:row>
    <x:row r="100">
      <x:c r="C100" s="20" t="str">
        <x:f>IF(B100="","",IFERROR(INDEX('PO MASTER'!$L$4:$L$103,MATCH(B100,'PO MASTER'!$A$4:$A$103,0)),0))</x:f>
      </x:c>
      <x:c r="D100" t="str">
        <x:f>IF(C100="","",IFERROR(INDEX('APPROVAL POLICY'!$D$2:$D$5,MATCH(C100,'APPROVAL POLICY'!$B$2:$B$5,1)),"CHECK POLICY"))</x:f>
      </x:c>
      <x:c r="E100" t="str">
        <x:f>IF(C100="","",IFERROR(INDEX('APPROVAL POLICY'!$E$2:$E$5,MATCH(C100,'APPROVAL POLICY'!$B$2:$B$5,1)),"CHECK POLICY"))</x:f>
      </x:c>
      <x:c r="I100" s="12"/>
      <x:c r="L100" s="12"/>
      <x:c r="M100" t="str">
        <x:f>IF(B100="","",IF(P100&lt;&gt;"VALID","BLOCKED - INVALID PO",IF(OR(G100="",H100&lt;&gt;"Approved",I100="",G100=F100),"HOLD",IF(E100="Yes",IF(AND(J100&lt;&gt;"",K100="Approved",L100&lt;&gt;"",J100&lt;&gt;G100,J100&lt;&gt;F100),"RELEASE ELIGIBLE","HOLD"),"RELEASE ELIGIBLE"))))</x:f>
      </x:c>
      <x:c r="P100" t="str">
        <x:f>IF(B100="","",IF(COUNTIF('PO MASTER'!$A$4:$A$103,B100)=1,"VALID","INVALID PO ID"))</x:f>
      </x:c>
    </x:row>
    <x:row r="101">
      <x:c r="C101" s="20" t="str">
        <x:f>IF(B101="","",IFERROR(INDEX('PO MASTER'!$L$4:$L$103,MATCH(B101,'PO MASTER'!$A$4:$A$103,0)),0))</x:f>
      </x:c>
      <x:c r="D101" t="str">
        <x:f>IF(C101="","",IFERROR(INDEX('APPROVAL POLICY'!$D$2:$D$5,MATCH(C101,'APPROVAL POLICY'!$B$2:$B$5,1)),"CHECK POLICY"))</x:f>
      </x:c>
      <x:c r="E101" t="str">
        <x:f>IF(C101="","",IFERROR(INDEX('APPROVAL POLICY'!$E$2:$E$5,MATCH(C101,'APPROVAL POLICY'!$B$2:$B$5,1)),"CHECK POLICY"))</x:f>
      </x:c>
      <x:c r="I101" s="12"/>
      <x:c r="L101" s="12"/>
      <x:c r="M101" t="str">
        <x:f>IF(B101="","",IF(P101&lt;&gt;"VALID","BLOCKED - INVALID PO",IF(OR(G101="",H101&lt;&gt;"Approved",I101="",G101=F101),"HOLD",IF(E101="Yes",IF(AND(J101&lt;&gt;"",K101="Approved",L101&lt;&gt;"",J101&lt;&gt;G101,J101&lt;&gt;F101),"RELEASE ELIGIBLE","HOLD"),"RELEASE ELIGIBLE"))))</x:f>
      </x:c>
      <x:c r="P101" t="str">
        <x:f>IF(B101="","",IF(COUNTIF('PO MASTER'!$A$4:$A$103,B101)=1,"VALID","INVALID PO ID"))</x:f>
      </x:c>
    </x:row>
  </x:sheetData>
  <x:conditionalFormatting sqref="M2:M101">
    <x:cfRule type="expression" dxfId="0" priority="1">
      <x:formula>M2="HOLD"</x:formula>
    </x:cfRule>
  </x:conditionalFormatting>
  <x:dataValidations count="2">
    <x:dataValidation type="list" sqref="H2:H101">
      <x:formula1>"Pending,Approved,Rejected,Returned"</x:formula1>
    </x:dataValidation>
    <x:dataValidation type="list" sqref="K2:K101">
      <x:formula1>"Pending,Approved,Rejected,Returned,Not Required"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0" hidden="0" customWidth="1"/>
    <x:col min="5" max="5" width="24" hidden="0" customWidth="1"/>
    <x:col min="6" max="6" width="26" hidden="0" customWidth="1"/>
    <x:col min="7" max="7" width="26" hidden="0" customWidth="1"/>
    <x:col min="8" max="8" width="45" hidden="0" customWidth="1"/>
    <x:col min="9" max="9" width="24" hidden="0" customWidth="1"/>
    <x:col min="10" max="10" width="24" hidden="0" customWidth="1"/>
    <x:col min="11" max="11" width="19" hidden="0" customWidth="1"/>
    <x:col min="12" max="12" width="36" hidden="0" customWidth="1"/>
    <x:col min="13" max="13" width="22" hidden="0" customWidth="1"/>
  </x:cols>
  <x:sheetData>
    <x:row r="1" ht="32" customHeight="1">
      <x:c r="A1" s="19" t="str">
        <x:v>Change ID</x:v>
      </x:c>
      <x:c r="B1" s="19" t="str">
        <x:v>Timestamp (manual)</x:v>
      </x:c>
      <x:c r="C1" s="19" t="str">
        <x:v>Record Type</x:v>
      </x:c>
      <x:c r="D1" s="19" t="str">
        <x:v>Record ID</x:v>
      </x:c>
      <x:c r="E1" s="19" t="str">
        <x:v>Field Changed</x:v>
      </x:c>
      <x:c r="F1" s="19" t="str">
        <x:v>Old Value</x:v>
      </x:c>
      <x:c r="G1" s="19" t="str">
        <x:v>New Value</x:v>
      </x:c>
      <x:c r="H1" s="19" t="str">
        <x:v>Change Reason</x:v>
      </x:c>
      <x:c r="I1" s="19" t="str">
        <x:v>Changed By</x:v>
      </x:c>
      <x:c r="J1" s="19" t="str">
        <x:v>Reviewed By</x:v>
      </x:c>
      <x:c r="K1" s="19" t="str">
        <x:v>Review Date</x:v>
      </x:c>
      <x:c r="L1" s="19" t="str">
        <x:v>Evidence Link</x:v>
      </x:c>
      <x:c r="M1" s="19" t="str">
        <x:v>Control Check</x:v>
      </x:c>
    </x:row>
    <x:row r="2">
      <x:c r="B2" s="21"/>
      <x:c r="K2" s="12"/>
      <x:c r="M2" t="str">
        <x:f>IF(D2="","",IF(OR(B2="",E2="",H2="",I2=""),"INCOMPLETE",IF(I2=J2,"REVIEW CONFLICT",IF(J2="","PENDING REVIEW","REVIEWED"))))</x:f>
      </x:c>
    </x:row>
    <x:row r="3">
      <x:c r="B3" s="21"/>
      <x:c r="K3" s="12"/>
      <x:c r="M3" t="str">
        <x:f>IF(D3="","",IF(OR(B3="",E3="",H3="",I3=""),"INCOMPLETE",IF(I3=J3,"REVIEW CONFLICT",IF(J3="","PENDING REVIEW","REVIEWED"))))</x:f>
      </x:c>
    </x:row>
    <x:row r="4">
      <x:c r="B4" s="21"/>
      <x:c r="K4" s="12"/>
      <x:c r="M4" t="str">
        <x:f>IF(D4="","",IF(OR(B4="",E4="",H4="",I4=""),"INCOMPLETE",IF(I4=J4,"REVIEW CONFLICT",IF(J4="","PENDING REVIEW","REVIEWED"))))</x:f>
      </x:c>
    </x:row>
    <x:row r="5">
      <x:c r="B5" s="21"/>
      <x:c r="K5" s="12"/>
      <x:c r="M5" t="str">
        <x:f>IF(D5="","",IF(OR(B5="",E5="",H5="",I5=""),"INCOMPLETE",IF(I5=J5,"REVIEW CONFLICT",IF(J5="","PENDING REVIEW","REVIEWED"))))</x:f>
      </x:c>
    </x:row>
    <x:row r="6">
      <x:c r="B6" s="21"/>
      <x:c r="K6" s="12"/>
      <x:c r="M6" t="str">
        <x:f>IF(D6="","",IF(OR(B6="",E6="",H6="",I6=""),"INCOMPLETE",IF(I6=J6,"REVIEW CONFLICT",IF(J6="","PENDING REVIEW","REVIEWED"))))</x:f>
      </x:c>
    </x:row>
    <x:row r="7">
      <x:c r="B7" s="21"/>
      <x:c r="K7" s="12"/>
      <x:c r="M7" t="str">
        <x:f>IF(D7="","",IF(OR(B7="",E7="",H7="",I7=""),"INCOMPLETE",IF(I7=J7,"REVIEW CONFLICT",IF(J7="","PENDING REVIEW","REVIEWED"))))</x:f>
      </x:c>
    </x:row>
    <x:row r="8">
      <x:c r="B8" s="21"/>
      <x:c r="K8" s="12"/>
      <x:c r="M8" t="str">
        <x:f>IF(D8="","",IF(OR(B8="",E8="",H8="",I8=""),"INCOMPLETE",IF(I8=J8,"REVIEW CONFLICT",IF(J8="","PENDING REVIEW","REVIEWED"))))</x:f>
      </x:c>
    </x:row>
    <x:row r="9">
      <x:c r="B9" s="21"/>
      <x:c r="K9" s="12"/>
      <x:c r="M9" t="str">
        <x:f>IF(D9="","",IF(OR(B9="",E9="",H9="",I9=""),"INCOMPLETE",IF(I9=J9,"REVIEW CONFLICT",IF(J9="","PENDING REVIEW","REVIEWED"))))</x:f>
      </x:c>
    </x:row>
    <x:row r="10">
      <x:c r="B10" s="21"/>
      <x:c r="K10" s="12"/>
      <x:c r="M10" t="str">
        <x:f>IF(D10="","",IF(OR(B10="",E10="",H10="",I10=""),"INCOMPLETE",IF(I10=J10,"REVIEW CONFLICT",IF(J10="","PENDING REVIEW","REVIEWED"))))</x:f>
      </x:c>
    </x:row>
    <x:row r="11">
      <x:c r="B11" s="21"/>
      <x:c r="K11" s="12"/>
      <x:c r="M11" t="str">
        <x:f>IF(D11="","",IF(OR(B11="",E11="",H11="",I11=""),"INCOMPLETE",IF(I11=J11,"REVIEW CONFLICT",IF(J11="","PENDING REVIEW","REVIEWED"))))</x:f>
      </x:c>
    </x:row>
    <x:row r="12">
      <x:c r="B12" s="21"/>
      <x:c r="K12" s="12"/>
      <x:c r="M12" t="str">
        <x:f>IF(D12="","",IF(OR(B12="",E12="",H12="",I12=""),"INCOMPLETE",IF(I12=J12,"REVIEW CONFLICT",IF(J12="","PENDING REVIEW","REVIEWED"))))</x:f>
      </x:c>
    </x:row>
    <x:row r="13">
      <x:c r="B13" s="21"/>
      <x:c r="K13" s="12"/>
      <x:c r="M13" t="str">
        <x:f>IF(D13="","",IF(OR(B13="",E13="",H13="",I13=""),"INCOMPLETE",IF(I13=J13,"REVIEW CONFLICT",IF(J13="","PENDING REVIEW","REVIEWED"))))</x:f>
      </x:c>
    </x:row>
    <x:row r="14">
      <x:c r="B14" s="21"/>
      <x:c r="K14" s="12"/>
      <x:c r="M14" t="str">
        <x:f>IF(D14="","",IF(OR(B14="",E14="",H14="",I14=""),"INCOMPLETE",IF(I14=J14,"REVIEW CONFLICT",IF(J14="","PENDING REVIEW","REVIEWED"))))</x:f>
      </x:c>
    </x:row>
    <x:row r="15">
      <x:c r="B15" s="21"/>
      <x:c r="K15" s="12"/>
      <x:c r="M15" t="str">
        <x:f>IF(D15="","",IF(OR(B15="",E15="",H15="",I15=""),"INCOMPLETE",IF(I15=J15,"REVIEW CONFLICT",IF(J15="","PENDING REVIEW","REVIEWED"))))</x:f>
      </x:c>
    </x:row>
    <x:row r="16">
      <x:c r="B16" s="21"/>
      <x:c r="K16" s="12"/>
      <x:c r="M16" t="str">
        <x:f>IF(D16="","",IF(OR(B16="",E16="",H16="",I16=""),"INCOMPLETE",IF(I16=J16,"REVIEW CONFLICT",IF(J16="","PENDING REVIEW","REVIEWED"))))</x:f>
      </x:c>
    </x:row>
    <x:row r="17">
      <x:c r="B17" s="21"/>
      <x:c r="K17" s="12"/>
      <x:c r="M17" t="str">
        <x:f>IF(D17="","",IF(OR(B17="",E17="",H17="",I17=""),"INCOMPLETE",IF(I17=J17,"REVIEW CONFLICT",IF(J17="","PENDING REVIEW","REVIEWED"))))</x:f>
      </x:c>
    </x:row>
    <x:row r="18">
      <x:c r="B18" s="21"/>
      <x:c r="K18" s="12"/>
      <x:c r="M18" t="str">
        <x:f>IF(D18="","",IF(OR(B18="",E18="",H18="",I18=""),"INCOMPLETE",IF(I18=J18,"REVIEW CONFLICT",IF(J18="","PENDING REVIEW","REVIEWED"))))</x:f>
      </x:c>
    </x:row>
    <x:row r="19">
      <x:c r="B19" s="21"/>
      <x:c r="K19" s="12"/>
      <x:c r="M19" t="str">
        <x:f>IF(D19="","",IF(OR(B19="",E19="",H19="",I19=""),"INCOMPLETE",IF(I19=J19,"REVIEW CONFLICT",IF(J19="","PENDING REVIEW","REVIEWED"))))</x:f>
      </x:c>
    </x:row>
    <x:row r="20">
      <x:c r="B20" s="21"/>
      <x:c r="K20" s="12"/>
      <x:c r="M20" t="str">
        <x:f>IF(D20="","",IF(OR(B20="",E20="",H20="",I20=""),"INCOMPLETE",IF(I20=J20,"REVIEW CONFLICT",IF(J20="","PENDING REVIEW","REVIEWED"))))</x:f>
      </x:c>
    </x:row>
    <x:row r="21">
      <x:c r="B21" s="21"/>
      <x:c r="K21" s="12"/>
      <x:c r="M21" t="str">
        <x:f>IF(D21="","",IF(OR(B21="",E21="",H21="",I21=""),"INCOMPLETE",IF(I21=J21,"REVIEW CONFLICT",IF(J21="","PENDING REVIEW","REVIEWED"))))</x:f>
      </x:c>
    </x:row>
    <x:row r="22">
      <x:c r="B22" s="21"/>
      <x:c r="K22" s="12"/>
      <x:c r="M22" t="str">
        <x:f>IF(D22="","",IF(OR(B22="",E22="",H22="",I22=""),"INCOMPLETE",IF(I22=J22,"REVIEW CONFLICT",IF(J22="","PENDING REVIEW","REVIEWED"))))</x:f>
      </x:c>
    </x:row>
    <x:row r="23">
      <x:c r="B23" s="21"/>
      <x:c r="K23" s="12"/>
      <x:c r="M23" t="str">
        <x:f>IF(D23="","",IF(OR(B23="",E23="",H23="",I23=""),"INCOMPLETE",IF(I23=J23,"REVIEW CONFLICT",IF(J23="","PENDING REVIEW","REVIEWED"))))</x:f>
      </x:c>
    </x:row>
    <x:row r="24">
      <x:c r="B24" s="21"/>
      <x:c r="K24" s="12"/>
      <x:c r="M24" t="str">
        <x:f>IF(D24="","",IF(OR(B24="",E24="",H24="",I24=""),"INCOMPLETE",IF(I24=J24,"REVIEW CONFLICT",IF(J24="","PENDING REVIEW","REVIEWED"))))</x:f>
      </x:c>
    </x:row>
    <x:row r="25">
      <x:c r="B25" s="21"/>
      <x:c r="K25" s="12"/>
      <x:c r="M25" t="str">
        <x:f>IF(D25="","",IF(OR(B25="",E25="",H25="",I25=""),"INCOMPLETE",IF(I25=J25,"REVIEW CONFLICT",IF(J25="","PENDING REVIEW","REVIEWED"))))</x:f>
      </x:c>
    </x:row>
    <x:row r="26">
      <x:c r="B26" s="21"/>
      <x:c r="K26" s="12"/>
      <x:c r="M26" t="str">
        <x:f>IF(D26="","",IF(OR(B26="",E26="",H26="",I26=""),"INCOMPLETE",IF(I26=J26,"REVIEW CONFLICT",IF(J26="","PENDING REVIEW","REVIEWED"))))</x:f>
      </x:c>
    </x:row>
    <x:row r="27">
      <x:c r="B27" s="21"/>
      <x:c r="K27" s="12"/>
      <x:c r="M27" t="str">
        <x:f>IF(D27="","",IF(OR(B27="",E27="",H27="",I27=""),"INCOMPLETE",IF(I27=J27,"REVIEW CONFLICT",IF(J27="","PENDING REVIEW","REVIEWED"))))</x:f>
      </x:c>
    </x:row>
    <x:row r="28">
      <x:c r="B28" s="21"/>
      <x:c r="K28" s="12"/>
      <x:c r="M28" t="str">
        <x:f>IF(D28="","",IF(OR(B28="",E28="",H28="",I28=""),"INCOMPLETE",IF(I28=J28,"REVIEW CONFLICT",IF(J28="","PENDING REVIEW","REVIEWED"))))</x:f>
      </x:c>
    </x:row>
    <x:row r="29">
      <x:c r="B29" s="21"/>
      <x:c r="K29" s="12"/>
      <x:c r="M29" t="str">
        <x:f>IF(D29="","",IF(OR(B29="",E29="",H29="",I29=""),"INCOMPLETE",IF(I29=J29,"REVIEW CONFLICT",IF(J29="","PENDING REVIEW","REVIEWED"))))</x:f>
      </x:c>
    </x:row>
    <x:row r="30">
      <x:c r="B30" s="21"/>
      <x:c r="K30" s="12"/>
      <x:c r="M30" t="str">
        <x:f>IF(D30="","",IF(OR(B30="",E30="",H30="",I30=""),"INCOMPLETE",IF(I30=J30,"REVIEW CONFLICT",IF(J30="","PENDING REVIEW","REVIEWED"))))</x:f>
      </x:c>
    </x:row>
    <x:row r="31">
      <x:c r="B31" s="21"/>
      <x:c r="K31" s="12"/>
      <x:c r="M31" t="str">
        <x:f>IF(D31="","",IF(OR(B31="",E31="",H31="",I31=""),"INCOMPLETE",IF(I31=J31,"REVIEW CONFLICT",IF(J31="","PENDING REVIEW","REVIEWED"))))</x:f>
      </x:c>
    </x:row>
    <x:row r="32">
      <x:c r="B32" s="21"/>
      <x:c r="K32" s="12"/>
      <x:c r="M32" t="str">
        <x:f>IF(D32="","",IF(OR(B32="",E32="",H32="",I32=""),"INCOMPLETE",IF(I32=J32,"REVIEW CONFLICT",IF(J32="","PENDING REVIEW","REVIEWED"))))</x:f>
      </x:c>
    </x:row>
    <x:row r="33">
      <x:c r="B33" s="21"/>
      <x:c r="K33" s="12"/>
      <x:c r="M33" t="str">
        <x:f>IF(D33="","",IF(OR(B33="",E33="",H33="",I33=""),"INCOMPLETE",IF(I33=J33,"REVIEW CONFLICT",IF(J33="","PENDING REVIEW","REVIEWED"))))</x:f>
      </x:c>
    </x:row>
    <x:row r="34">
      <x:c r="B34" s="21"/>
      <x:c r="K34" s="12"/>
      <x:c r="M34" t="str">
        <x:f>IF(D34="","",IF(OR(B34="",E34="",H34="",I34=""),"INCOMPLETE",IF(I34=J34,"REVIEW CONFLICT",IF(J34="","PENDING REVIEW","REVIEWED"))))</x:f>
      </x:c>
    </x:row>
    <x:row r="35">
      <x:c r="B35" s="21"/>
      <x:c r="K35" s="12"/>
      <x:c r="M35" t="str">
        <x:f>IF(D35="","",IF(OR(B35="",E35="",H35="",I35=""),"INCOMPLETE",IF(I35=J35,"REVIEW CONFLICT",IF(J35="","PENDING REVIEW","REVIEWED"))))</x:f>
      </x:c>
    </x:row>
    <x:row r="36">
      <x:c r="B36" s="21"/>
      <x:c r="K36" s="12"/>
      <x:c r="M36" t="str">
        <x:f>IF(D36="","",IF(OR(B36="",E36="",H36="",I36=""),"INCOMPLETE",IF(I36=J36,"REVIEW CONFLICT",IF(J36="","PENDING REVIEW","REVIEWED"))))</x:f>
      </x:c>
    </x:row>
    <x:row r="37">
      <x:c r="B37" s="21"/>
      <x:c r="K37" s="12"/>
      <x:c r="M37" t="str">
        <x:f>IF(D37="","",IF(OR(B37="",E37="",H37="",I37=""),"INCOMPLETE",IF(I37=J37,"REVIEW CONFLICT",IF(J37="","PENDING REVIEW","REVIEWED"))))</x:f>
      </x:c>
    </x:row>
    <x:row r="38">
      <x:c r="B38" s="21"/>
      <x:c r="K38" s="12"/>
      <x:c r="M38" t="str">
        <x:f>IF(D38="","",IF(OR(B38="",E38="",H38="",I38=""),"INCOMPLETE",IF(I38=J38,"REVIEW CONFLICT",IF(J38="","PENDING REVIEW","REVIEWED"))))</x:f>
      </x:c>
    </x:row>
    <x:row r="39">
      <x:c r="B39" s="21"/>
      <x:c r="K39" s="12"/>
      <x:c r="M39" t="str">
        <x:f>IF(D39="","",IF(OR(B39="",E39="",H39="",I39=""),"INCOMPLETE",IF(I39=J39,"REVIEW CONFLICT",IF(J39="","PENDING REVIEW","REVIEWED"))))</x:f>
      </x:c>
    </x:row>
    <x:row r="40">
      <x:c r="B40" s="21"/>
      <x:c r="K40" s="12"/>
      <x:c r="M40" t="str">
        <x:f>IF(D40="","",IF(OR(B40="",E40="",H40="",I40=""),"INCOMPLETE",IF(I40=J40,"REVIEW CONFLICT",IF(J40="","PENDING REVIEW","REVIEWED"))))</x:f>
      </x:c>
    </x:row>
    <x:row r="41">
      <x:c r="B41" s="21"/>
      <x:c r="K41" s="12"/>
      <x:c r="M41" t="str">
        <x:f>IF(D41="","",IF(OR(B41="",E41="",H41="",I41=""),"INCOMPLETE",IF(I41=J41,"REVIEW CONFLICT",IF(J41="","PENDING REVIEW","REVIEWED"))))</x:f>
      </x:c>
    </x:row>
    <x:row r="42">
      <x:c r="B42" s="21"/>
      <x:c r="K42" s="12"/>
      <x:c r="M42" t="str">
        <x:f>IF(D42="","",IF(OR(B42="",E42="",H42="",I42=""),"INCOMPLETE",IF(I42=J42,"REVIEW CONFLICT",IF(J42="","PENDING REVIEW","REVIEWED"))))</x:f>
      </x:c>
    </x:row>
    <x:row r="43">
      <x:c r="B43" s="21"/>
      <x:c r="K43" s="12"/>
      <x:c r="M43" t="str">
        <x:f>IF(D43="","",IF(OR(B43="",E43="",H43="",I43=""),"INCOMPLETE",IF(I43=J43,"REVIEW CONFLICT",IF(J43="","PENDING REVIEW","REVIEWED"))))</x:f>
      </x:c>
    </x:row>
    <x:row r="44">
      <x:c r="B44" s="21"/>
      <x:c r="K44" s="12"/>
      <x:c r="M44" t="str">
        <x:f>IF(D44="","",IF(OR(B44="",E44="",H44="",I44=""),"INCOMPLETE",IF(I44=J44,"REVIEW CONFLICT",IF(J44="","PENDING REVIEW","REVIEWED"))))</x:f>
      </x:c>
    </x:row>
    <x:row r="45">
      <x:c r="B45" s="21"/>
      <x:c r="K45" s="12"/>
      <x:c r="M45" t="str">
        <x:f>IF(D45="","",IF(OR(B45="",E45="",H45="",I45=""),"INCOMPLETE",IF(I45=J45,"REVIEW CONFLICT",IF(J45="","PENDING REVIEW","REVIEWED"))))</x:f>
      </x:c>
    </x:row>
    <x:row r="46">
      <x:c r="B46" s="21"/>
      <x:c r="K46" s="12"/>
      <x:c r="M46" t="str">
        <x:f>IF(D46="","",IF(OR(B46="",E46="",H46="",I46=""),"INCOMPLETE",IF(I46=J46,"REVIEW CONFLICT",IF(J46="","PENDING REVIEW","REVIEWED"))))</x:f>
      </x:c>
    </x:row>
    <x:row r="47">
      <x:c r="B47" s="21"/>
      <x:c r="K47" s="12"/>
      <x:c r="M47" t="str">
        <x:f>IF(D47="","",IF(OR(B47="",E47="",H47="",I47=""),"INCOMPLETE",IF(I47=J47,"REVIEW CONFLICT",IF(J47="","PENDING REVIEW","REVIEWED"))))</x:f>
      </x:c>
    </x:row>
    <x:row r="48">
      <x:c r="B48" s="21"/>
      <x:c r="K48" s="12"/>
      <x:c r="M48" t="str">
        <x:f>IF(D48="","",IF(OR(B48="",E48="",H48="",I48=""),"INCOMPLETE",IF(I48=J48,"REVIEW CONFLICT",IF(J48="","PENDING REVIEW","REVIEWED"))))</x:f>
      </x:c>
    </x:row>
    <x:row r="49">
      <x:c r="B49" s="21"/>
      <x:c r="K49" s="12"/>
      <x:c r="M49" t="str">
        <x:f>IF(D49="","",IF(OR(B49="",E49="",H49="",I49=""),"INCOMPLETE",IF(I49=J49,"REVIEW CONFLICT",IF(J49="","PENDING REVIEW","REVIEWED"))))</x:f>
      </x:c>
    </x:row>
    <x:row r="50">
      <x:c r="B50" s="21"/>
      <x:c r="K50" s="12"/>
      <x:c r="M50" t="str">
        <x:f>IF(D50="","",IF(OR(B50="",E50="",H50="",I50=""),"INCOMPLETE",IF(I50=J50,"REVIEW CONFLICT",IF(J50="","PENDING REVIEW","REVIEWED"))))</x:f>
      </x:c>
    </x:row>
    <x:row r="51">
      <x:c r="B51" s="21"/>
      <x:c r="K51" s="12"/>
      <x:c r="M51" t="str">
        <x:f>IF(D51="","",IF(OR(B51="",E51="",H51="",I51=""),"INCOMPLETE",IF(I51=J51,"REVIEW CONFLICT",IF(J51="","PENDING REVIEW","REVIEWED"))))</x:f>
      </x:c>
    </x:row>
    <x:row r="52">
      <x:c r="B52" s="21"/>
      <x:c r="K52" s="12"/>
      <x:c r="M52" t="str">
        <x:f>IF(D52="","",IF(OR(B52="",E52="",H52="",I52=""),"INCOMPLETE",IF(I52=J52,"REVIEW CONFLICT",IF(J52="","PENDING REVIEW","REVIEWED"))))</x:f>
      </x:c>
    </x:row>
    <x:row r="53">
      <x:c r="B53" s="21"/>
      <x:c r="K53" s="12"/>
      <x:c r="M53" t="str">
        <x:f>IF(D53="","",IF(OR(B53="",E53="",H53="",I53=""),"INCOMPLETE",IF(I53=J53,"REVIEW CONFLICT",IF(J53="","PENDING REVIEW","REVIEWED"))))</x:f>
      </x:c>
    </x:row>
    <x:row r="54">
      <x:c r="B54" s="21"/>
      <x:c r="K54" s="12"/>
      <x:c r="M54" t="str">
        <x:f>IF(D54="","",IF(OR(B54="",E54="",H54="",I54=""),"INCOMPLETE",IF(I54=J54,"REVIEW CONFLICT",IF(J54="","PENDING REVIEW","REVIEWED"))))</x:f>
      </x:c>
    </x:row>
    <x:row r="55">
      <x:c r="B55" s="21"/>
      <x:c r="K55" s="12"/>
      <x:c r="M55" t="str">
        <x:f>IF(D55="","",IF(OR(B55="",E55="",H55="",I55=""),"INCOMPLETE",IF(I55=J55,"REVIEW CONFLICT",IF(J55="","PENDING REVIEW","REVIEWED"))))</x:f>
      </x:c>
    </x:row>
    <x:row r="56">
      <x:c r="B56" s="21"/>
      <x:c r="K56" s="12"/>
      <x:c r="M56" t="str">
        <x:f>IF(D56="","",IF(OR(B56="",E56="",H56="",I56=""),"INCOMPLETE",IF(I56=J56,"REVIEW CONFLICT",IF(J56="","PENDING REVIEW","REVIEWED"))))</x:f>
      </x:c>
    </x:row>
    <x:row r="57">
      <x:c r="B57" s="21"/>
      <x:c r="K57" s="12"/>
      <x:c r="M57" t="str">
        <x:f>IF(D57="","",IF(OR(B57="",E57="",H57="",I57=""),"INCOMPLETE",IF(I57=J57,"REVIEW CONFLICT",IF(J57="","PENDING REVIEW","REVIEWED"))))</x:f>
      </x:c>
    </x:row>
    <x:row r="58">
      <x:c r="B58" s="21"/>
      <x:c r="K58" s="12"/>
      <x:c r="M58" t="str">
        <x:f>IF(D58="","",IF(OR(B58="",E58="",H58="",I58=""),"INCOMPLETE",IF(I58=J58,"REVIEW CONFLICT",IF(J58="","PENDING REVIEW","REVIEWED"))))</x:f>
      </x:c>
    </x:row>
    <x:row r="59">
      <x:c r="B59" s="21"/>
      <x:c r="K59" s="12"/>
      <x:c r="M59" t="str">
        <x:f>IF(D59="","",IF(OR(B59="",E59="",H59="",I59=""),"INCOMPLETE",IF(I59=J59,"REVIEW CONFLICT",IF(J59="","PENDING REVIEW","REVIEWED"))))</x:f>
      </x:c>
    </x:row>
    <x:row r="60">
      <x:c r="B60" s="21"/>
      <x:c r="K60" s="12"/>
      <x:c r="M60" t="str">
        <x:f>IF(D60="","",IF(OR(B60="",E60="",H60="",I60=""),"INCOMPLETE",IF(I60=J60,"REVIEW CONFLICT",IF(J60="","PENDING REVIEW","REVIEWED"))))</x:f>
      </x:c>
    </x:row>
    <x:row r="61">
      <x:c r="B61" s="21"/>
      <x:c r="K61" s="12"/>
      <x:c r="M61" t="str">
        <x:f>IF(D61="","",IF(OR(B61="",E61="",H61="",I61=""),"INCOMPLETE",IF(I61=J61,"REVIEW CONFLICT",IF(J61="","PENDING REVIEW","REVIEWED"))))</x:f>
      </x:c>
    </x:row>
    <x:row r="62">
      <x:c r="B62" s="21"/>
      <x:c r="K62" s="12"/>
      <x:c r="M62" t="str">
        <x:f>IF(D62="","",IF(OR(B62="",E62="",H62="",I62=""),"INCOMPLETE",IF(I62=J62,"REVIEW CONFLICT",IF(J62="","PENDING REVIEW","REVIEWED"))))</x:f>
      </x:c>
    </x:row>
    <x:row r="63">
      <x:c r="B63" s="21"/>
      <x:c r="K63" s="12"/>
      <x:c r="M63" t="str">
        <x:f>IF(D63="","",IF(OR(B63="",E63="",H63="",I63=""),"INCOMPLETE",IF(I63=J63,"REVIEW CONFLICT",IF(J63="","PENDING REVIEW","REVIEWED"))))</x:f>
      </x:c>
    </x:row>
    <x:row r="64">
      <x:c r="B64" s="21"/>
      <x:c r="K64" s="12"/>
      <x:c r="M64" t="str">
        <x:f>IF(D64="","",IF(OR(B64="",E64="",H64="",I64=""),"INCOMPLETE",IF(I64=J64,"REVIEW CONFLICT",IF(J64="","PENDING REVIEW","REVIEWED"))))</x:f>
      </x:c>
    </x:row>
    <x:row r="65">
      <x:c r="B65" s="21"/>
      <x:c r="K65" s="12"/>
      <x:c r="M65" t="str">
        <x:f>IF(D65="","",IF(OR(B65="",E65="",H65="",I65=""),"INCOMPLETE",IF(I65=J65,"REVIEW CONFLICT",IF(J65="","PENDING REVIEW","REVIEWED"))))</x:f>
      </x:c>
    </x:row>
    <x:row r="66">
      <x:c r="B66" s="21"/>
      <x:c r="K66" s="12"/>
      <x:c r="M66" t="str">
        <x:f>IF(D66="","",IF(OR(B66="",E66="",H66="",I66=""),"INCOMPLETE",IF(I66=J66,"REVIEW CONFLICT",IF(J66="","PENDING REVIEW","REVIEWED"))))</x:f>
      </x:c>
    </x:row>
    <x:row r="67">
      <x:c r="B67" s="21"/>
      <x:c r="K67" s="12"/>
      <x:c r="M67" t="str">
        <x:f>IF(D67="","",IF(OR(B67="",E67="",H67="",I67=""),"INCOMPLETE",IF(I67=J67,"REVIEW CONFLICT",IF(J67="","PENDING REVIEW","REVIEWED"))))</x:f>
      </x:c>
    </x:row>
    <x:row r="68">
      <x:c r="B68" s="21"/>
      <x:c r="K68" s="12"/>
      <x:c r="M68" t="str">
        <x:f>IF(D68="","",IF(OR(B68="",E68="",H68="",I68=""),"INCOMPLETE",IF(I68=J68,"REVIEW CONFLICT",IF(J68="","PENDING REVIEW","REVIEWED"))))</x:f>
      </x:c>
    </x:row>
    <x:row r="69">
      <x:c r="B69" s="21"/>
      <x:c r="K69" s="12"/>
      <x:c r="M69" t="str">
        <x:f>IF(D69="","",IF(OR(B69="",E69="",H69="",I69=""),"INCOMPLETE",IF(I69=J69,"REVIEW CONFLICT",IF(J69="","PENDING REVIEW","REVIEWED"))))</x:f>
      </x:c>
    </x:row>
    <x:row r="70">
      <x:c r="B70" s="21"/>
      <x:c r="K70" s="12"/>
      <x:c r="M70" t="str">
        <x:f>IF(D70="","",IF(OR(B70="",E70="",H70="",I70=""),"INCOMPLETE",IF(I70=J70,"REVIEW CONFLICT",IF(J70="","PENDING REVIEW","REVIEWED"))))</x:f>
      </x:c>
    </x:row>
    <x:row r="71">
      <x:c r="B71" s="21"/>
      <x:c r="K71" s="12"/>
      <x:c r="M71" t="str">
        <x:f>IF(D71="","",IF(OR(B71="",E71="",H71="",I71=""),"INCOMPLETE",IF(I71=J71,"REVIEW CONFLICT",IF(J71="","PENDING REVIEW","REVIEWED"))))</x:f>
      </x:c>
    </x:row>
    <x:row r="72">
      <x:c r="B72" s="21"/>
      <x:c r="K72" s="12"/>
      <x:c r="M72" t="str">
        <x:f>IF(D72="","",IF(OR(B72="",E72="",H72="",I72=""),"INCOMPLETE",IF(I72=J72,"REVIEW CONFLICT",IF(J72="","PENDING REVIEW","REVIEWED"))))</x:f>
      </x:c>
    </x:row>
    <x:row r="73">
      <x:c r="B73" s="21"/>
      <x:c r="K73" s="12"/>
      <x:c r="M73" t="str">
        <x:f>IF(D73="","",IF(OR(B73="",E73="",H73="",I73=""),"INCOMPLETE",IF(I73=J73,"REVIEW CONFLICT",IF(J73="","PENDING REVIEW","REVIEWED"))))</x:f>
      </x:c>
    </x:row>
    <x:row r="74">
      <x:c r="B74" s="21"/>
      <x:c r="K74" s="12"/>
      <x:c r="M74" t="str">
        <x:f>IF(D74="","",IF(OR(B74="",E74="",H74="",I74=""),"INCOMPLETE",IF(I74=J74,"REVIEW CONFLICT",IF(J74="","PENDING REVIEW","REVIEWED"))))</x:f>
      </x:c>
    </x:row>
    <x:row r="75">
      <x:c r="B75" s="21"/>
      <x:c r="K75" s="12"/>
      <x:c r="M75" t="str">
        <x:f>IF(D75="","",IF(OR(B75="",E75="",H75="",I75=""),"INCOMPLETE",IF(I75=J75,"REVIEW CONFLICT",IF(J75="","PENDING REVIEW","REVIEWED"))))</x:f>
      </x:c>
    </x:row>
    <x:row r="76">
      <x:c r="B76" s="21"/>
      <x:c r="K76" s="12"/>
      <x:c r="M76" t="str">
        <x:f>IF(D76="","",IF(OR(B76="",E76="",H76="",I76=""),"INCOMPLETE",IF(I76=J76,"REVIEW CONFLICT",IF(J76="","PENDING REVIEW","REVIEWED"))))</x:f>
      </x:c>
    </x:row>
    <x:row r="77">
      <x:c r="B77" s="21"/>
      <x:c r="K77" s="12"/>
      <x:c r="M77" t="str">
        <x:f>IF(D77="","",IF(OR(B77="",E77="",H77="",I77=""),"INCOMPLETE",IF(I77=J77,"REVIEW CONFLICT",IF(J77="","PENDING REVIEW","REVIEWED"))))</x:f>
      </x:c>
    </x:row>
    <x:row r="78">
      <x:c r="B78" s="21"/>
      <x:c r="K78" s="12"/>
      <x:c r="M78" t="str">
        <x:f>IF(D78="","",IF(OR(B78="",E78="",H78="",I78=""),"INCOMPLETE",IF(I78=J78,"REVIEW CONFLICT",IF(J78="","PENDING REVIEW","REVIEWED"))))</x:f>
      </x:c>
    </x:row>
    <x:row r="79">
      <x:c r="B79" s="21"/>
      <x:c r="K79" s="12"/>
      <x:c r="M79" t="str">
        <x:f>IF(D79="","",IF(OR(B79="",E79="",H79="",I79=""),"INCOMPLETE",IF(I79=J79,"REVIEW CONFLICT",IF(J79="","PENDING REVIEW","REVIEWED"))))</x:f>
      </x:c>
    </x:row>
    <x:row r="80">
      <x:c r="B80" s="21"/>
      <x:c r="K80" s="12"/>
      <x:c r="M80" t="str">
        <x:f>IF(D80="","",IF(OR(B80="",E80="",H80="",I80=""),"INCOMPLETE",IF(I80=J80,"REVIEW CONFLICT",IF(J80="","PENDING REVIEW","REVIEWED"))))</x:f>
      </x:c>
    </x:row>
    <x:row r="81">
      <x:c r="B81" s="21"/>
      <x:c r="K81" s="12"/>
      <x:c r="M81" t="str">
        <x:f>IF(D81="","",IF(OR(B81="",E81="",H81="",I81=""),"INCOMPLETE",IF(I81=J81,"REVIEW CONFLICT",IF(J81="","PENDING REVIEW","REVIEWED"))))</x:f>
      </x:c>
    </x:row>
    <x:row r="82">
      <x:c r="B82" s="21"/>
      <x:c r="K82" s="12"/>
      <x:c r="M82" t="str">
        <x:f>IF(D82="","",IF(OR(B82="",E82="",H82="",I82=""),"INCOMPLETE",IF(I82=J82,"REVIEW CONFLICT",IF(J82="","PENDING REVIEW","REVIEWED"))))</x:f>
      </x:c>
    </x:row>
    <x:row r="83">
      <x:c r="B83" s="21"/>
      <x:c r="K83" s="12"/>
      <x:c r="M83" t="str">
        <x:f>IF(D83="","",IF(OR(B83="",E83="",H83="",I83=""),"INCOMPLETE",IF(I83=J83,"REVIEW CONFLICT",IF(J83="","PENDING REVIEW","REVIEWED"))))</x:f>
      </x:c>
    </x:row>
    <x:row r="84">
      <x:c r="B84" s="21"/>
      <x:c r="K84" s="12"/>
      <x:c r="M84" t="str">
        <x:f>IF(D84="","",IF(OR(B84="",E84="",H84="",I84=""),"INCOMPLETE",IF(I84=J84,"REVIEW CONFLICT",IF(J84="","PENDING REVIEW","REVIEWED"))))</x:f>
      </x:c>
    </x:row>
    <x:row r="85">
      <x:c r="B85" s="21"/>
      <x:c r="K85" s="12"/>
      <x:c r="M85" t="str">
        <x:f>IF(D85="","",IF(OR(B85="",E85="",H85="",I85=""),"INCOMPLETE",IF(I85=J85,"REVIEW CONFLICT",IF(J85="","PENDING REVIEW","REVIEWED"))))</x:f>
      </x:c>
    </x:row>
    <x:row r="86">
      <x:c r="B86" s="21"/>
      <x:c r="K86" s="12"/>
      <x:c r="M86" t="str">
        <x:f>IF(D86="","",IF(OR(B86="",E86="",H86="",I86=""),"INCOMPLETE",IF(I86=J86,"REVIEW CONFLICT",IF(J86="","PENDING REVIEW","REVIEWED"))))</x:f>
      </x:c>
    </x:row>
    <x:row r="87">
      <x:c r="B87" s="21"/>
      <x:c r="K87" s="12"/>
      <x:c r="M87" t="str">
        <x:f>IF(D87="","",IF(OR(B87="",E87="",H87="",I87=""),"INCOMPLETE",IF(I87=J87,"REVIEW CONFLICT",IF(J87="","PENDING REVIEW","REVIEWED"))))</x:f>
      </x:c>
    </x:row>
    <x:row r="88">
      <x:c r="B88" s="21"/>
      <x:c r="K88" s="12"/>
      <x:c r="M88" t="str">
        <x:f>IF(D88="","",IF(OR(B88="",E88="",H88="",I88=""),"INCOMPLETE",IF(I88=J88,"REVIEW CONFLICT",IF(J88="","PENDING REVIEW","REVIEWED"))))</x:f>
      </x:c>
    </x:row>
    <x:row r="89">
      <x:c r="B89" s="21"/>
      <x:c r="K89" s="12"/>
      <x:c r="M89" t="str">
        <x:f>IF(D89="","",IF(OR(B89="",E89="",H89="",I89=""),"INCOMPLETE",IF(I89=J89,"REVIEW CONFLICT",IF(J89="","PENDING REVIEW","REVIEWED"))))</x:f>
      </x:c>
    </x:row>
    <x:row r="90">
      <x:c r="B90" s="21"/>
      <x:c r="K90" s="12"/>
      <x:c r="M90" t="str">
        <x:f>IF(D90="","",IF(OR(B90="",E90="",H90="",I90=""),"INCOMPLETE",IF(I90=J90,"REVIEW CONFLICT",IF(J90="","PENDING REVIEW","REVIEWED"))))</x:f>
      </x:c>
    </x:row>
    <x:row r="91">
      <x:c r="B91" s="21"/>
      <x:c r="K91" s="12"/>
      <x:c r="M91" t="str">
        <x:f>IF(D91="","",IF(OR(B91="",E91="",H91="",I91=""),"INCOMPLETE",IF(I91=J91,"REVIEW CONFLICT",IF(J91="","PENDING REVIEW","REVIEWED"))))</x:f>
      </x:c>
    </x:row>
    <x:row r="92">
      <x:c r="B92" s="21"/>
      <x:c r="K92" s="12"/>
      <x:c r="M92" t="str">
        <x:f>IF(D92="","",IF(OR(B92="",E92="",H92="",I92=""),"INCOMPLETE",IF(I92=J92,"REVIEW CONFLICT",IF(J92="","PENDING REVIEW","REVIEWED"))))</x:f>
      </x:c>
    </x:row>
    <x:row r="93">
      <x:c r="B93" s="21"/>
      <x:c r="K93" s="12"/>
      <x:c r="M93" t="str">
        <x:f>IF(D93="","",IF(OR(B93="",E93="",H93="",I93=""),"INCOMPLETE",IF(I93=J93,"REVIEW CONFLICT",IF(J93="","PENDING REVIEW","REVIEWED"))))</x:f>
      </x:c>
    </x:row>
    <x:row r="94">
      <x:c r="B94" s="21"/>
      <x:c r="K94" s="12"/>
      <x:c r="M94" t="str">
        <x:f>IF(D94="","",IF(OR(B94="",E94="",H94="",I94=""),"INCOMPLETE",IF(I94=J94,"REVIEW CONFLICT",IF(J94="","PENDING REVIEW","REVIEWED"))))</x:f>
      </x:c>
    </x:row>
    <x:row r="95">
      <x:c r="B95" s="21"/>
      <x:c r="K95" s="12"/>
      <x:c r="M95" t="str">
        <x:f>IF(D95="","",IF(OR(B95="",E95="",H95="",I95=""),"INCOMPLETE",IF(I95=J95,"REVIEW CONFLICT",IF(J95="","PENDING REVIEW","REVIEWED"))))</x:f>
      </x:c>
    </x:row>
    <x:row r="96">
      <x:c r="B96" s="21"/>
      <x:c r="K96" s="12"/>
      <x:c r="M96" t="str">
        <x:f>IF(D96="","",IF(OR(B96="",E96="",H96="",I96=""),"INCOMPLETE",IF(I96=J96,"REVIEW CONFLICT",IF(J96="","PENDING REVIEW","REVIEWED"))))</x:f>
      </x:c>
    </x:row>
    <x:row r="97">
      <x:c r="B97" s="21"/>
      <x:c r="K97" s="12"/>
      <x:c r="M97" t="str">
        <x:f>IF(D97="","",IF(OR(B97="",E97="",H97="",I97=""),"INCOMPLETE",IF(I97=J97,"REVIEW CONFLICT",IF(J97="","PENDING REVIEW","REVIEWED"))))</x:f>
      </x:c>
    </x:row>
    <x:row r="98">
      <x:c r="B98" s="21"/>
      <x:c r="K98" s="12"/>
      <x:c r="M98" t="str">
        <x:f>IF(D98="","",IF(OR(B98="",E98="",H98="",I98=""),"INCOMPLETE",IF(I98=J98,"REVIEW CONFLICT",IF(J98="","PENDING REVIEW","REVIEWED"))))</x:f>
      </x:c>
    </x:row>
    <x:row r="99">
      <x:c r="B99" s="21"/>
      <x:c r="K99" s="12"/>
      <x:c r="M99" t="str">
        <x:f>IF(D99="","",IF(OR(B99="",E99="",H99="",I99=""),"INCOMPLETE",IF(I99=J99,"REVIEW CONFLICT",IF(J99="","PENDING REVIEW","REVIEWED"))))</x:f>
      </x:c>
    </x:row>
    <x:row r="100">
      <x:c r="B100" s="21"/>
      <x:c r="K100" s="12"/>
      <x:c r="M100" t="str">
        <x:f>IF(D100="","",IF(OR(B100="",E100="",H100="",I100=""),"INCOMPLETE",IF(I100=J100,"REVIEW CONFLICT",IF(J100="","PENDING REVIEW","REVIEWED"))))</x:f>
      </x:c>
    </x:row>
    <x:row r="101">
      <x:c r="B101" s="21"/>
      <x:c r="K101" s="12"/>
      <x:c r="M101" t="str">
        <x:f>IF(D101="","",IF(OR(B101="",E101="",H101="",I101=""),"INCOMPLETE",IF(I101=J101,"REVIEW CONFLICT",IF(J101="","PENDING REVIEW","REVIEWED"))))</x:f>
      </x:c>
    </x:row>
  </x:sheetData>
  <x:dataValidations count="1">
    <x:dataValidation type="list" sqref="C2:C101">
      <x:formula1>"Supplier,RFQ,Purchase Order,Risk,Approval,Policy"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55" hidden="0" customWidth="1"/>
    <x:col min="4" max="4" width="27" hidden="0" customWidth="1"/>
    <x:col min="5" max="5" width="60" hidden="0" customWidth="1"/>
  </x:cols>
  <x:sheetData>
    <x:row r="1" ht="32" customHeight="1">
      <x:c r="A1" s="19" t="str">
        <x:v>Entity</x:v>
      </x:c>
      <x:c r="B1" s="19" t="str">
        <x:v>Record ID</x:v>
      </x:c>
      <x:c r="C1" s="19" t="str">
        <x:v>Control</x:v>
      </x:c>
      <x:c r="D1" s="19" t="str">
        <x:v>Result</x:v>
      </x:c>
      <x:c r="E1" s="19" t="str">
        <x:v>Owner / Action</x:v>
      </x:c>
    </x:row>
    <x:row r="2">
      <x:c r="A2" t="str">
        <x:v>Purchase Orders</x:v>
      </x:c>
      <x:c r="B2" t="str">
        <x:v>All</x:v>
      </x:c>
      <x:c r="C2" t="str">
        <x:v>Duplicate PO IDs</x:v>
      </x:c>
      <x:c r="D2" t="n">
        <x:f>SUMPRODUCT(('PO MASTER'!A4:A103&lt;&gt;"")*(COUNTIF('PO MASTER'!A4:A103,'PO MASTER'!A4:A103)&gt;1))</x:f>
        <x:v>0</x:v>
      </x:c>
      <x:c r="E2" t="str">
        <x:v>Data Steward: resolve duplicates before publishing KPIs</x:v>
      </x:c>
    </x:row>
    <x:row r="3">
      <x:c r="A3" t="str">
        <x:v>Purchase Orders</x:v>
      </x:c>
      <x:c r="B3" t="str">
        <x:v>All</x:v>
      </x:c>
      <x:c r="C3" t="str">
        <x:v>Unknown Supplier IDs</x:v>
      </x:c>
      <x:c r="D3" t="n">
        <x:f>COUNTIF('PO MASTER'!X4:X103,"INVALID*")</x:f>
        <x:v>0</x:v>
      </x:c>
      <x:c r="E3" t="str">
        <x:v>Supplier owner: validate master data</x:v>
      </x:c>
    </x:row>
    <x:row r="4">
      <x:c r="A4" t="str">
        <x:v>Risk Register</x:v>
      </x:c>
      <x:c r="B4" t="str">
        <x:v>All</x:v>
      </x:c>
      <x:c r="C4" t="str">
        <x:v>Invalid PO references</x:v>
      </x:c>
      <x:c r="D4" t="n">
        <x:f>COUNTIF('RISK REGISTER'!Q4:Q103,"INVALID*")</x:f>
        <x:v>0</x:v>
      </x:c>
      <x:c r="E4" t="str">
        <x:v>Risk owner: repair missing PO references</x:v>
      </x:c>
    </x:row>
    <x:row r="5">
      <x:c r="A5" t="str">
        <x:v>Approvals</x:v>
      </x:c>
      <x:c r="B5" t="str">
        <x:v>All</x:v>
      </x:c>
      <x:c r="C5" t="str">
        <x:v>POs without release-eligible approval</x:v>
      </x:c>
      <x:c r="D5" t="n">
        <x:f>COUNTIFS('PO MASTER'!A4:A103,"&lt;&gt;")-COUNTIF('APPROVAL REGISTER'!M2:M101,"RELEASE ELIGIBLE")</x:f>
        <x:v>10</x:v>
      </x:c>
      <x:c r="E5" t="str">
        <x:v>Procurement: do not release until approvals are complete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75" hidden="0" customWidth="1"/>
    <x:col min="4" max="4" width="24" hidden="0" customWidth="1"/>
    <x:col min="5" max="5" width="20" hidden="0" customWidth="1"/>
    <x:col min="6" max="6" width="75" hidden="0" customWidth="1"/>
    <x:col min="7" max="7" width="70" hidden="0" customWidth="1"/>
  </x:cols>
  <x:sheetData>
    <x:row r="1" ht="32" customHeight="1">
      <x:c r="A1" s="19" t="str">
        <x:v>Control ID</x:v>
      </x:c>
      <x:c r="B1" s="19" t="str">
        <x:v>Area</x:v>
      </x:c>
      <x:c r="C1" s="19" t="str">
        <x:v>Rule / Requirement</x:v>
      </x:c>
      <x:c r="D1" s="19" t="str">
        <x:v>Owner</x:v>
      </x:c>
      <x:c r="E1" s="19" t="str">
        <x:v>Frequency</x:v>
      </x:c>
      <x:c r="F1" s="19" t="str">
        <x:v>Evidence / Implementation</x:v>
      </x:c>
      <x:c r="G1" s="19" t="str">
        <x:v>Limitation</x:v>
      </x:c>
    </x:row>
    <x:row r="2">
      <x:c r="A2" t="str">
        <x:v>GOV-01</x:v>
      </x:c>
      <x:c r="B2" t="str">
        <x:v>Master data</x:v>
      </x:c>
      <x:c r="C2" t="str">
        <x:v>Supplier ID must exist in SUPPLIERS before use in RFQ or PO.</x:v>
      </x:c>
      <x:c r="D2" t="str">
        <x:v>Procurement Data Steward</x:v>
      </x:c>
      <x:c r="E2" t="str">
        <x:v>Per entry</x:v>
      </x:c>
      <x:c r="F2" t="str">
        <x:v>SUPPLIERS / PO MASTER checks</x:v>
      </x:c>
      <x:c r="G2" t="str">
        <x:v>Excel checks do not block external edits.</x:v>
      </x:c>
    </x:row>
    <x:row r="3">
      <x:c r="A3" t="str">
        <x:v>GOV-02</x:v>
      </x:c>
      <x:c r="B3" t="str">
        <x:v>Unique identifiers</x:v>
      </x:c>
      <x:c r="C3" t="str">
        <x:v>PO ID, RFQ ID, Approval ID, Risk ID and Change ID must be unique.</x:v>
      </x:c>
      <x:c r="D3" t="str">
        <x:v>Process Owner</x:v>
      </x:c>
      <x:c r="E3" t="str">
        <x:v>Per entry</x:v>
      </x:c>
      <x:c r="F3" t="str">
        <x:v>DATA QUALITY and periodic manual review</x:v>
      </x:c>
      <x:c r="G3" t="str">
        <x:v>Only PO duplicate check automated in this version.</x:v>
      </x:c>
    </x:row>
    <x:row r="4">
      <x:c r="A4" t="str">
        <x:v>GOV-03</x:v>
      </x:c>
      <x:c r="B4" t="str">
        <x:v>Approvals</x:v>
      </x:c>
      <x:c r="C4" t="str">
        <x:v>No PO may be released without the required approvals and segregation of duties.</x:v>
      </x:c>
      <x:c r="D4" t="str">
        <x:v>Procurement Manager</x:v>
      </x:c>
      <x:c r="E4" t="str">
        <x:v>Per PO</x:v>
      </x:c>
      <x:c r="F4" t="str">
        <x:v>APPROVAL REGISTER Release Gate</x:v>
      </x:c>
      <x:c r="G4" t="str">
        <x:v>Advisory gate only; does not technically prevent issuing a PO.</x:v>
      </x:c>
    </x:row>
    <x:row r="5">
      <x:c r="A5" t="str">
        <x:v>GOV-04</x:v>
      </x:c>
      <x:c r="B5" t="str">
        <x:v>Authority</x:v>
      </x:c>
      <x:c r="C5" t="str">
        <x:v>Approval limits are in USD; use total PO amount; no splitting POs to avoid limits.</x:v>
      </x:c>
      <x:c r="D5" t="str">
        <x:v>Finance</x:v>
      </x:c>
      <x:c r="E5" t="str">
        <x:v>Per PO</x:v>
      </x:c>
      <x:c r="F5" t="str">
        <x:v>APPROVAL POLICY</x:v>
      </x:c>
      <x:c r="G5" t="str">
        <x:v>Thresholds are demonstration assumptions, not corporate policy.</x:v>
      </x:c>
    </x:row>
    <x:row r="6">
      <x:c r="A6" t="str">
        <x:v>GOV-05</x:v>
      </x:c>
      <x:c r="B6" t="str">
        <x:v>Change traceability</x:v>
      </x:c>
      <x:c r="C6" t="str">
        <x:v>Material changes require old/new value, timestamp, reason, editor, reviewer and evidence.</x:v>
      </x:c>
      <x:c r="D6" t="str">
        <x:v>Data Steward</x:v>
      </x:c>
      <x:c r="E6" t="str">
        <x:v>Per change</x:v>
      </x:c>
      <x:c r="F6" t="str">
        <x:v>CHANGE LOG</x:v>
      </x:c>
      <x:c r="G6" t="str">
        <x:v>Manual log; not immutable or automatically captured.</x:v>
      </x:c>
    </x:row>
    <x:row r="7">
      <x:c r="A7" t="str">
        <x:v>GOV-06</x:v>
      </x:c>
      <x:c r="B7" t="str">
        <x:v>Segregation of duties</x:v>
      </x:c>
      <x:c r="C7" t="str">
        <x:v>Requester must differ from primary and secondary approvers; primary differs from secondary.</x:v>
      </x:c>
      <x:c r="D7" t="str">
        <x:v>Finance</x:v>
      </x:c>
      <x:c r="E7" t="str">
        <x:v>Per approval</x:v>
      </x:c>
      <x:c r="F7" t="str">
        <x:v>APPROVAL REGISTER Release Gate</x:v>
      </x:c>
      <x:c r="G7" t="str">
        <x:v>Role authorization itself is not authenticated.</x:v>
      </x:c>
    </x:row>
    <x:row r="8">
      <x:c r="A8" t="str">
        <x:v>GOV-07</x:v>
      </x:c>
      <x:c r="B8" t="str">
        <x:v>Sensitive information</x:v>
      </x:c>
      <x:c r="C8" t="str">
        <x:v>Use fictitious supplier, pricing and personnel data for public portfolio.</x:v>
      </x:c>
      <x:c r="D8" t="str">
        <x:v>Project Owner</x:v>
      </x:c>
      <x:c r="E8" t="str">
        <x:v>Always</x:v>
      </x:c>
      <x:c r="F8" t="str">
        <x:v>All sheets</x:v>
      </x:c>
      <x:c r="G8" t="str">
        <x:v>Never upload live supplier quotes, invoices, PII or credentials.</x:v>
      </x:c>
    </x:row>
    <x:row r="9">
      <x:c r="A9" t="str">
        <x:v>GOV-08</x:v>
      </x:c>
      <x:c r="B9" t="str">
        <x:v>Quality &amp; reporting</x:v>
      </x:c>
      <x:c r="C9" t="str">
        <x:v>Resolve invalid links and duplicates before KPI reporting; document exceptions.</x:v>
      </x:c>
      <x:c r="D9" t="str">
        <x:v>Data Steward</x:v>
      </x:c>
      <x:c r="E9" t="str">
        <x:v>Weekly</x:v>
      </x:c>
      <x:c r="F9" t="str">
        <x:v>DATA QUALITY</x:v>
      </x:c>
      <x:c r="G9" t="str">
        <x:v>Controls rely on Excel formulas and review.</x:v>
      </x:c>
    </x:row>
    <x:row r="10">
      <x:c r="A10" t="str">
        <x:v>GOV-09</x:v>
      </x:c>
      <x:c r="B10" t="str">
        <x:v>Retention &amp; access</x:v>
      </x:c>
      <x:c r="C10" t="str">
        <x:v>Restrict write access; archive approved versions; define retention per organization policy.</x:v>
      </x:c>
      <x:c r="D10" t="str">
        <x:v>System Owner</x:v>
      </x:c>
      <x:c r="E10" t="str">
        <x:v>Quarterly</x:v>
      </x:c>
      <x:c r="F10" t="str">
        <x:v>Repository version history / access settings</x:v>
      </x:c>
      <x:c r="G10" t="str">
        <x:v>GitHub history is not a substitute for transaction-level audit trail.</x:v>
      </x:c>
    </x:row>
    <x:row r="11">
      <x:c r="A11" t="str">
        <x:v>GOV-10</x:v>
      </x:c>
      <x:c r="B11" t="str">
        <x:v>Currency &amp; dates</x:v>
      </x:c>
      <x:c r="C11" t="str">
        <x:v>Record PO currency and FX assumptions when extending beyond USD; dates in ISO format.</x:v>
      </x:c>
      <x:c r="D11" t="str">
        <x:v>Finance</x:v>
      </x:c>
      <x:c r="E11" t="str">
        <x:v>Per PO</x:v>
      </x:c>
      <x:c r="F11" t="str">
        <x:v>Model conventions</x:v>
      </x:c>
      <x:c r="G11" t="str">
        <x:v>Current sample assumes USD only.</x:v>
      </x:c>
    </x:row>
  </x:sheetData>
  <x:pageMargins left="0.7" right="0.7" top="0.75" bottom="0.75" header="0.3" footer="0.3"/>
</x:worksheet>
</file>