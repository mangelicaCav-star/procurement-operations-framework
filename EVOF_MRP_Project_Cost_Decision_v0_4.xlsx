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f975f110e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e67e93c2d5f847e0"/>
    <x:sheet xmlns:r="http://schemas.openxmlformats.org/officeDocument/2006/relationships" name="Parametros" sheetId="2" r:id="R6bce94469d45431c"/>
    <x:sheet xmlns:r="http://schemas.openxmlformats.org/officeDocument/2006/relationships" name="Proyectos" sheetId="3" r:id="R98fe221775ef4103"/>
    <x:sheet xmlns:r="http://schemas.openxmlformats.org/officeDocument/2006/relationships" name="MRP_Cambio" sheetId="4" r:id="R9cd0a454259442a4"/>
    <x:sheet xmlns:r="http://schemas.openxmlformats.org/officeDocument/2006/relationships" name="Alternativas" sheetId="5" r:id="Re4f82c112ee54c65"/>
    <x:sheet xmlns:r="http://schemas.openxmlformats.org/officeDocument/2006/relationships" name="Control_Decision" sheetId="6" r:id="R957a0bd98153435a"/>
    <x:sheet xmlns:r="http://schemas.openxmlformats.org/officeDocument/2006/relationships" name="Pruebas" sheetId="7" r:id="R7eafcd5e814a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B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32b54d119422a" /><Relationship Type="http://schemas.openxmlformats.org/officeDocument/2006/relationships/theme" Target="/xl/theme/theme1.xml" Id="Re67865e5ce1747d8" /><Relationship Type="http://schemas.openxmlformats.org/officeDocument/2006/relationships/sharedStrings" Target="/xl/sharedStrings.xml" Id="R564e67188ff34c8b" /><Relationship Type="http://schemas.openxmlformats.org/officeDocument/2006/relationships/worksheet" Target="/xl/worksheets/sheet1.xml" Id="Re67e93c2d5f847e0" /><Relationship Type="http://schemas.openxmlformats.org/officeDocument/2006/relationships/worksheet" Target="/xl/worksheets/sheet2.xml" Id="R6bce94469d45431c" /><Relationship Type="http://schemas.openxmlformats.org/officeDocument/2006/relationships/worksheet" Target="/xl/worksheets/sheet3.xml" Id="R98fe221775ef4103" /><Relationship Type="http://schemas.openxmlformats.org/officeDocument/2006/relationships/worksheet" Target="/xl/worksheets/sheet4.xml" Id="R9cd0a454259442a4" /><Relationship Type="http://schemas.openxmlformats.org/officeDocument/2006/relationships/worksheet" Target="/xl/worksheets/sheet5.xml" Id="Re4f82c112ee54c65" /><Relationship Type="http://schemas.openxmlformats.org/officeDocument/2006/relationships/worksheet" Target="/xl/worksheets/sheet6.xml" Id="R957a0bd98153435a" /><Relationship Type="http://schemas.openxmlformats.org/officeDocument/2006/relationships/worksheet" Target="/xl/worksheets/sheet7.xml" Id="R7eafcd5e814a47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0" hidden="0" customWidth="1"/>
  </x:cols>
  <x:sheetData>
    <x:row r="1" ht="34" customHeight="1">
      <x:c r="A1" s="4" t="str">
        <x:v>Sección</x:v>
      </x:c>
      <x:c r="B1" s="4" t="str">
        <x:v>Definición / alcance</x:v>
      </x:c>
    </x:row>
    <x:row r="2">
      <x:c r="A2" t="str">
        <x:v>Objetivo</x:v>
      </x:c>
      <x:c r="B2" t="str">
        <x:v>Comparar decisiones de abastecimiento por costo incremental, presupuesto por proyecto, plazo y factibilidad.</x:v>
      </x:c>
    </x:row>
    <x:row r="3">
      <x:c r="A3" t="str">
        <x:v>Base</x:v>
      </x:c>
      <x:c r="B3" t="str">
        <x:v>Datos 100% simulados. MPS FG-B cambia de 25 a 45; genera 60 piezas adicionales ITM-001.</x:v>
      </x:c>
    </x:row>
    <x:row r="4">
      <x:c r="A4" t="str">
        <x:v>Separación</x:v>
      </x:c>
      <x:c r="B4" t="str">
        <x:v>Necesidad neta no equivale a compra aprobada; fecha estimada no equivale a entrega confirmada.</x:v>
      </x:c>
    </x:row>
    <x:row r="5">
      <x:c r="A5" t="str">
        <x:v>Costos</x:v>
      </x:c>
      <x:c r="B5" t="str">
        <x:v>El costo base de material se cuenta una vez; el costo de espera se modela separadamente como impacto potencial.</x:v>
      </x:c>
    </x:row>
    <x:row r="6">
      <x:c r="A6" t="str">
        <x:v>Presupuesto</x:v>
      </x:c>
      <x:c r="B6" t="str">
        <x:v>Costos comprometidos + costo incremental de alternativa; no duplicar material ya comprometido.</x:v>
      </x:c>
    </x:row>
    <x:row r="7">
      <x:c r="A7" t="str">
        <x:v>Decisión</x:v>
      </x:c>
      <x:c r="B7" t="str">
        <x:v>Filtrar primero factibilidad y cumplimiento de presupuesto; luego comparar costos. Si ninguna opción cumple, ESCALAR.</x:v>
      </x:c>
    </x:row>
    <x:row r="8">
      <x:c r="A8" t="str">
        <x:v>Interproyectos</x:v>
      </x:c>
      <x:c r="B8" t="str">
        <x:v>La demanda de varios proyectos debe compartir una sola disponibilidad; sin transferencias automáticas.</x:v>
      </x:c>
    </x:row>
    <x:row r="9">
      <x:c r="A9" t="str">
        <x:v>Límites</x:v>
      </x:c>
      <x:c r="B9" t="str">
        <x:v>No integra ERP, capacidad de planta, calificación de proveedor ni calendario laboral real.</x:v>
      </x:c>
    </x:row>
    <x:row r="10">
      <x:c r="A10" t="str">
        <x:v>Validación</x:v>
      </x:c>
      <x:c r="B10" t="str">
        <x:v>Cálculos revisados con casos independientes; abrir en Excel para validar recálculo en su motor.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2" hidden="0" customWidth="1"/>
    <x:col min="3" max="3" width="56" hidden="0" customWidth="1"/>
  </x:cols>
  <x:sheetData>
    <x:row r="1" ht="38" customHeight="1">
      <x:c r="A1" s="4" t="str">
        <x:v>Parámetro</x:v>
      </x:c>
      <x:c r="B1" s="4" t="str">
        <x:v>Valor</x:v>
      </x:c>
      <x:c r="C1" s="4" t="str">
        <x:v>Unidad / nota</x:v>
      </x:c>
    </x:row>
    <x:row r="2">
      <x:c r="A2" t="str">
        <x:v>Fecha de corte</x:v>
      </x:c>
      <x:c r="B2" s="8" t="n">
        <x:v>46311</x:v>
      </x:c>
      <x:c r="C2" t="str">
        <x:v>Fecha</x:v>
      </x:c>
    </x:row>
    <x:row r="3">
      <x:c r="A3" t="str">
        <x:v>Inventario utilizable</x:v>
      </x:c>
      <x:c r="B3" t="n">
        <x:v>90</x:v>
      </x:c>
      <x:c r="C3" t="str">
        <x:v>pzas</x:v>
      </x:c>
    </x:row>
    <x:row r="4">
      <x:c r="A4" t="str">
        <x:v>Demanda 23/oct</x:v>
      </x:c>
      <x:c r="B4" t="n">
        <x:v>60</x:v>
      </x:c>
      <x:c r="C4" t="str">
        <x:v>pzas</x:v>
      </x:c>
    </x:row>
    <x:row r="5">
      <x:c r="A5" t="str">
        <x:v>FG-B original</x:v>
      </x:c>
      <x:c r="B5" t="n">
        <x:v>25</x:v>
      </x:c>
      <x:c r="C5" t="str">
        <x:v>unidades</x:v>
      </x:c>
    </x:row>
    <x:row r="6">
      <x:c r="A6" t="str">
        <x:v>FG-B modificado</x:v>
      </x:c>
      <x:c r="B6" t="n">
        <x:v>45</x:v>
      </x:c>
      <x:c r="C6" t="str">
        <x:v>unidades</x:v>
      </x:c>
    </x:row>
    <x:row r="7">
      <x:c r="A7" t="str">
        <x:v>Consumo BOM FG-B</x:v>
      </x:c>
      <x:c r="B7" t="n">
        <x:v>3</x:v>
      </x:c>
      <x:c r="C7" t="str">
        <x:v>pzas / FG</x:v>
      </x:c>
    </x:row>
    <x:row r="8">
      <x:c r="A8" t="str">
        <x:v>Demanda 30/oct original</x:v>
      </x:c>
      <x:c r="B8" t="n">
        <x:v>75</x:v>
      </x:c>
      <x:c r="C8" t="str">
        <x:v>pzas</x:v>
      </x:c>
    </x:row>
    <x:row r="9">
      <x:c r="A9" t="str">
        <x:v>Recepción PO existente</x:v>
      </x:c>
      <x:c r="B9" t="n">
        <x:v>40</x:v>
      </x:c>
      <x:c r="C9" t="str">
        <x:v>05/nov, no disponible 30/oct</x:v>
      </x:c>
    </x:row>
    <x:row r="10">
      <x:c r="A10" t="str">
        <x:v>Costo unitario</x:v>
      </x:c>
      <x:c r="B10" t="n">
        <x:v>52</x:v>
      </x:c>
      <x:c r="C10" t="str">
        <x:v>USD/pza</x:v>
      </x:c>
    </x:row>
    <x:row r="11">
      <x:c r="A11" t="str">
        <x:v>Costo de espera</x:v>
      </x:c>
      <x:c r="B11" t="n">
        <x:v>2000</x:v>
      </x:c>
      <x:c r="C11" t="str">
        <x:v>USD por retrasar proyecto; supuesto</x:v>
      </x:c>
    </x:row>
    <x:row r="12">
      <x:c r="A12" t="str">
        <x:v>Costo expedite</x:v>
      </x:c>
      <x:c r="B12" t="n">
        <x:v>850</x:v>
      </x:c>
      <x:c r="C12" t="str">
        <x:v>USD flete/servicio adicional</x:v>
      </x:c>
    </x:row>
    <x:row r="13">
      <x:c r="A13" t="str">
        <x:v>Precio alterno</x:v>
      </x:c>
      <x:c r="B13" t="n">
        <x:v>64</x:v>
      </x:c>
      <x:c r="C13" t="str">
        <x:v>USD/pza</x:v>
      </x:c>
    </x:row>
    <x:row r="14">
      <x:c r="A14" t="str">
        <x:v>Logística alterno</x:v>
      </x:c>
      <x:c r="B14" t="n">
        <x:v>300</x:v>
      </x:c>
      <x:c r="C14" t="str">
        <x:v>USD</x:v>
      </x:c>
    </x:row>
    <x:row r="15">
      <x:c r="A15" t="str">
        <x:v>Fecha necesidad</x:v>
      </x:c>
      <x:c r="B15" s="8" t="n">
        <x:v>46325</x:v>
      </x:c>
      <x:c r="C15" t="str">
        <x:v>fecha</x:v>
      </x:c>
    </x:row>
    <x:row r="16">
      <x:c r="A16" t="str">
        <x:v>Fecha PO normal</x:v>
      </x:c>
      <x:c r="B16" s="8" t="n">
        <x:v>46331</x:v>
      </x:c>
      <x:c r="C16" t="str">
        <x:v>fecha</x:v>
      </x:c>
    </x:row>
    <x:row r="17">
      <x:c r="A17" t="str">
        <x:v>Fecha expedite</x:v>
      </x:c>
      <x:c r="B17" s="8" t="n">
        <x:v>46324</x:v>
      </x:c>
      <x:c r="C17" t="str">
        <x:v>fecha tentativa</x:v>
      </x:c>
    </x:row>
    <x:row r="18">
      <x:c r="A18" t="str">
        <x:v>Fecha alterno</x:v>
      </x:c>
      <x:c r="B18" s="8" t="n">
        <x:v>46323</x:v>
      </x:c>
      <x:c r="C18" t="str">
        <x:v>fecha tentativa</x:v>
      </x:c>
    </x:row>
    <x:row r="19">
      <x:c r="A19" t="str">
        <x:v>Confirmación expedite</x:v>
      </x:c>
      <x:c r="B19" t="n">
        <x:v>0</x:v>
      </x:c>
      <x:c r="C19" t="str">
        <x:v>1 confirmado / 0 no</x:v>
      </x:c>
    </x:row>
    <x:row r="20">
      <x:c r="A20" t="str">
        <x:v>Confirmación alterno</x:v>
      </x:c>
      <x:c r="B20" t="n">
        <x:v>0</x:v>
      </x:c>
      <x:c r="C20" t="str">
        <x:v>1 confirmado / 0 no</x:v>
      </x:c>
    </x:row>
    <x:row r="21">
      <x:c r="A21" t="str">
        <x:v>Calificación alterno</x:v>
      </x:c>
      <x:c r="B21" t="n">
        <x:v>0</x:v>
      </x:c>
      <x:c r="C21" t="str">
        <x:v>1 calificado / 0 no</x:v>
      </x:c>
    </x:row>
    <x:row r="22">
      <x:c r="A22" t="str">
        <x:v>MOQ</x:v>
      </x:c>
      <x:c r="B22" t="n">
        <x:v>1</x:v>
      </x:c>
      <x:c r="C22" t="str">
        <x:v>pzas</x:v>
      </x:c>
    </x:row>
    <x:row r="23">
      <x:c r="A23" t="str">
        <x:v>Costo material ya comprometido</x:v>
      </x:c>
      <x:c r="B23" t="n">
        <x:v>0</x:v>
      </x:c>
      <x:c r="C23" t="str">
        <x:v>USD, solo si aplica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26" hidden="0" customWidth="1"/>
    <x:col min="4" max="4" width="23" hidden="0" customWidth="1"/>
    <x:col min="5" max="5" width="30" hidden="0" customWidth="1"/>
    <x:col min="6" max="6" width="25" hidden="0" customWidth="1"/>
    <x:col min="7" max="7" width="56" hidden="0" customWidth="1"/>
  </x:cols>
  <x:sheetData>
    <x:row r="1" ht="38" customHeight="1">
      <x:c r="A1" s="4" t="str">
        <x:v>Proyecto</x:v>
      </x:c>
      <x:c r="B1" s="4" t="str">
        <x:v>Presupuesto aprobado</x:v>
      </x:c>
      <x:c r="C1" s="4" t="str">
        <x:v>Costos comprometidos</x:v>
      </x:c>
      <x:c r="D1" s="4" t="str">
        <x:v>Margen disponible</x:v>
      </x:c>
      <x:c r="E1" s="4" t="str">
        <x:v>Necesidad adicional asignada</x:v>
      </x:c>
      <x:c r="F1" s="4" t="str">
        <x:v>Participación demanda</x:v>
      </x:c>
      <x:c r="G1" s="4" t="str">
        <x:v>Notas</x:v>
      </x:c>
    </x:row>
    <x:row r="2">
      <x:c r="A2" t="str">
        <x:v>PRJ-200</x:v>
      </x:c>
      <x:c r="B2" t="n">
        <x:v>25000</x:v>
      </x:c>
      <x:c r="C2" t="n">
        <x:v>20000</x:v>
      </x:c>
      <x:c r="D2" t="n">
        <x:f>B2-C2</x:f>
        <x:v>5000</x:v>
      </x:c>
      <x:c r="E2" t="n">
        <x:f>MRP_Cambio!B3</x:f>
        <x:v>60</x:v>
      </x:c>
      <x:c r="F2" t="n">
        <x:f>IFERROR(E2/MRP_Cambio!B3,0)</x:f>
        <x:v>1</x:v>
      </x:c>
      <x:c r="G2" t="str">
        <x:v>Proyecto afectado por aumento FG-B</x:v>
      </x:c>
    </x:row>
    <x:row r="3">
      <x:c r="A3" t="str">
        <x:v>PRJ-100</x:v>
      </x:c>
      <x:c r="B3" t="n">
        <x:v>18000</x:v>
      </x:c>
      <x:c r="C3" t="n">
        <x:v>16500</x:v>
      </x:c>
      <x:c r="D3" t="n">
        <x:f>B3-C3</x:f>
        <x:v>1500</x:v>
      </x:c>
      <x:c r="E3" t="n">
        <x:v>0</x:v>
      </x:c>
      <x:c r="F3" t="n">
        <x:f>1-F2</x:f>
        <x:v>0</x:v>
      </x:c>
      <x:c r="G3" t="str">
        <x:v>Sin cambio MPS; validar impacto de inventario compartido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7" hidden="0" customWidth="1"/>
    <x:col min="3" max="3" width="82" hidden="0" customWidth="1"/>
  </x:cols>
  <x:sheetData>
    <x:row r="1" ht="38" customHeight="1">
      <x:c r="A1" s="4" t="str">
        <x:v>Métrica</x:v>
      </x:c>
      <x:c r="B1" s="4" t="str">
        <x:v>Fórmula / valor</x:v>
      </x:c>
      <x:c r="C1" s="4" t="str">
        <x:v>Interpretación</x:v>
      </x:c>
    </x:row>
    <x:row r="2">
      <x:c r="A2" t="str">
        <x:v>Incremento FG-B</x:v>
      </x:c>
      <x:c r="B2" t="n">
        <x:f>Parametros!B6-Parametros!B5</x:f>
        <x:v>20</x:v>
      </x:c>
      <x:c r="C2" t="str">
        <x:v>Unidades adicionales de producto terminado</x:v>
      </x:c>
    </x:row>
    <x:row r="3">
      <x:c r="A3" t="str">
        <x:v>Componentes adicionales</x:v>
      </x:c>
      <x:c r="B3" t="n">
        <x:f>B2*Parametros!B7</x:f>
        <x:v>60</x:v>
      </x:c>
      <x:c r="C3" t="str">
        <x:v>Incremento FG-B x BOM</x:v>
      </x:c>
    </x:row>
    <x:row r="4">
      <x:c r="A4" t="str">
        <x:v>Demanda total 30/oct</x:v>
      </x:c>
      <x:c r="B4" t="n">
        <x:f>Parametros!B8+B3</x:f>
        <x:v>135</x:v>
      </x:c>
      <x:c r="C4" t="str">
        <x:v>Demanda original + componentes adicionales</x:v>
      </x:c>
    </x:row>
    <x:row r="5">
      <x:c r="A5" t="str">
        <x:v>Stock tras 23/oct</x:v>
      </x:c>
      <x:c r="B5" t="n">
        <x:f>Parametros!B3-Parametros!B4</x:f>
        <x:v>30</x:v>
      </x:c>
      <x:c r="C5" t="str">
        <x:v>Inventario utilizable - demanda anterior</x:v>
      </x:c>
    </x:row>
    <x:row r="6">
      <x:c r="A6" t="str">
        <x:v>Faltante total 30/oct</x:v>
      </x:c>
      <x:c r="B6" t="n">
        <x:f>MAX(0,B4-B5)</x:f>
        <x:v>105</x:v>
      </x:c>
      <x:c r="C6" t="str">
        <x:v>Demanda total menos stock disponible</x:v>
      </x:c>
    </x:row>
    <x:row r="7">
      <x:c r="A7" t="str">
        <x:v>Recuperación propuesta anterior</x:v>
      </x:c>
      <x:c r="B7" t="n">
        <x:v>45</x:v>
      </x:c>
      <x:c r="C7" t="str">
        <x:v>No confirmada; no contar como recepción segura</x:v>
      </x:c>
    </x:row>
    <x:row r="8">
      <x:c r="A8" t="str">
        <x:v>Recuperación adicional condicional</x:v>
      </x:c>
      <x:c r="B8" t="n">
        <x:f>MAX(0,B6-B7)</x:f>
        <x:v>60</x:v>
      </x:c>
      <x:c r="C8" t="str">
        <x:v>Solo si se confirma propuesta de 45</x:v>
      </x:c>
    </x:row>
    <x:row r="9">
      <x:c r="A9" t="str">
        <x:v>Recuperación sin confirmar propuesta</x:v>
      </x:c>
      <x:c r="B9" t="n">
        <x:f>B6</x:f>
        <x:v>105</x:v>
      </x:c>
      <x:c r="C9" t="str">
        <x:v>Necesidad total si expedite previo no confirmado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22" hidden="0" customWidth="1"/>
    <x:col min="7" max="7" width="25" hidden="0" customWidth="1"/>
    <x:col min="8" max="8" width="28" hidden="0" customWidth="1"/>
    <x:col min="9" max="9" width="26" hidden="0" customWidth="1"/>
    <x:col min="10" max="10" width="18" hidden="0" customWidth="1"/>
    <x:col min="11" max="11" width="20" hidden="0" customWidth="1"/>
    <x:col min="12" max="12" width="26" hidden="0" customWidth="1"/>
    <x:col min="13" max="13" width="30" hidden="0" customWidth="1"/>
    <x:col min="14" max="14" width="36" hidden="0" customWidth="1"/>
  </x:cols>
  <x:sheetData>
    <x:row r="1" ht="38" customHeight="1">
      <x:c r="A1" s="4" t="str">
        <x:v>Opción</x:v>
      </x:c>
      <x:c r="B1" s="4" t="str">
        <x:v>Qty compra adicional</x:v>
      </x:c>
      <x:c r="C1" s="4" t="str">
        <x:v>Fecha estimada</x:v>
      </x:c>
      <x:c r="D1" s="4" t="str">
        <x:v>Material USD</x:v>
      </x:c>
      <x:c r="E1" s="4" t="str">
        <x:v>Extra USD</x:v>
      </x:c>
      <x:c r="F1" s="4" t="str">
        <x:v>Costo espera USD</x:v>
      </x:c>
      <x:c r="G1" s="4" t="str">
        <x:v>Costo incremental USD</x:v>
      </x:c>
      <x:c r="H1" s="4" t="str">
        <x:v>Costo proyectado proyecto</x:v>
      </x:c>
      <x:c r="I1" s="4" t="str">
        <x:v>Variación vs presupuesto</x:v>
      </x:c>
      <x:c r="J1" s="4" t="str">
        <x:v>Fecha cumple</x:v>
      </x:c>
      <x:c r="K1" s="4" t="str">
        <x:v>Cantidad cubre</x:v>
      </x:c>
      <x:c r="L1" s="4" t="str">
        <x:v>Confirmada / calificada</x:v>
      </x:c>
      <x:c r="M1" s="4" t="str">
        <x:v>Factibilidad</x:v>
      </x:c>
      <x:c r="N1" s="4" t="str">
        <x:v>Recomendación</x:v>
      </x:c>
    </x:row>
    <x:row r="2">
      <x:c r="A2" t="str">
        <x:v>Esperar PO normal</x:v>
      </x:c>
      <x:c r="B2" t="n">
        <x:f>MRP_Cambio!B3</x:f>
        <x:v>60</x:v>
      </x:c>
      <x:c r="C2" s="8" t="n">
        <x:f>Parametros!B16</x:f>
        <x:v>46331</x:v>
      </x:c>
      <x:c r="D2" t="n">
        <x:f>B2*Parametros!B10</x:f>
        <x:v>3120</x:v>
      </x:c>
      <x:c r="E2" t="n">
        <x:v>0</x:v>
      </x:c>
      <x:c r="F2" t="n">
        <x:f>Parametros!B11</x:f>
        <x:v>2000</x:v>
      </x:c>
      <x:c r="G2" t="n">
        <x:f>SUM(D2:F2)</x:f>
        <x:v>5120</x:v>
      </x:c>
      <x:c r="H2" t="n">
        <x:f>Proyectos!C2+G2</x:f>
        <x:v>25120</x:v>
      </x:c>
      <x:c r="I2" t="n">
        <x:f>H2-Proyectos!B2</x:f>
        <x:v>120</x:v>
      </x:c>
      <x:c r="J2" t="str">
        <x:f>IF(C2&lt;=Parametros!B15,"SI","NO")</x:f>
        <x:v>NO</x:v>
      </x:c>
      <x:c r="K2" t="str">
        <x:f>IF(B2&gt;=MRP_Cambio!B3,"SI","NO")</x:f>
        <x:v>SI</x:v>
      </x:c>
      <x:c r="L2" t="str">
        <x:v>NO</x:v>
      </x:c>
      <x:c r="M2" t="str">
        <x:f>IF(OR(J2="NO",K2="NO"),"NO FACTIBLE",IF(L2="SI","FACTIBLE CONFIRMADA","POTENCIAL / VALIDAR"))</x:f>
        <x:v>NO FACTIBLE</x:v>
      </x:c>
      <x:c r="N2" t="str">
        <x:f>IF(M2="NO FACTIBLE","DESCARTAR POR PLAZO",IF(I2&gt;0,"ESCALAR PRESUPUESTO",IF(L2="SI","CANDIDATA A APROBACION","CONFIRMAR ANTES DE DECIDIR")))</x:f>
        <x:v>DESCARTAR POR PLAZO</x:v>
      </x:c>
    </x:row>
    <x:row r="3">
      <x:c r="A3" t="str">
        <x:v>Expedite adicional</x:v>
      </x:c>
      <x:c r="B3" t="n">
        <x:f>MRP_Cambio!B3</x:f>
        <x:v>60</x:v>
      </x:c>
      <x:c r="C3" s="8" t="n">
        <x:f>Parametros!B17</x:f>
        <x:v>46324</x:v>
      </x:c>
      <x:c r="D3" t="n">
        <x:f>B3*Parametros!B10</x:f>
        <x:v>3120</x:v>
      </x:c>
      <x:c r="E3" t="n">
        <x:f>Parametros!B12</x:f>
        <x:v>850</x:v>
      </x:c>
      <x:c r="F3" t="n">
        <x:v>0</x:v>
      </x:c>
      <x:c r="G3" t="n">
        <x:f>SUM(D3:F3)</x:f>
        <x:v>3970</x:v>
      </x:c>
      <x:c r="H3" t="n">
        <x:f>Proyectos!C2+G3</x:f>
        <x:v>23970</x:v>
      </x:c>
      <x:c r="I3" t="n">
        <x:f>H3-Proyectos!B2</x:f>
        <x:v>-1030</x:v>
      </x:c>
      <x:c r="J3" t="str">
        <x:f>IF(C3&lt;=Parametros!B15,"SI","NO")</x:f>
        <x:v>SI</x:v>
      </x:c>
      <x:c r="K3" t="str">
        <x:f>IF(B3&gt;=MRP_Cambio!B3,"SI","NO")</x:f>
        <x:v>SI</x:v>
      </x:c>
      <x:c r="L3" t="str">
        <x:f>IF(Parametros!B19=1,"SI","NO")</x:f>
        <x:v>NO</x:v>
      </x:c>
      <x:c r="M3" t="str">
        <x:f>IF(OR(J3="NO",K3="NO"),"NO FACTIBLE",IF(L3="SI","FACTIBLE CONFIRMADA","POTENCIAL / VALIDAR"))</x:f>
        <x:v>POTENCIAL / VALIDAR</x:v>
      </x:c>
      <x:c r="N3" t="str">
        <x:f>IF(M3="NO FACTIBLE","DESCARTAR POR PLAZO",IF(I3&gt;0,"ESCALAR PRESUPUESTO",IF(L3="SI","CANDIDATA A APROBACION","CONFIRMAR ANTES DE DECIDIR")))</x:f>
        <x:v>CONFIRMAR ANTES DE DECIDIR</x:v>
      </x:c>
    </x:row>
    <x:row r="4">
      <x:c r="A4" t="str">
        <x:v>Proveedor alterno</x:v>
      </x:c>
      <x:c r="B4" t="n">
        <x:f>MRP_Cambio!B3</x:f>
        <x:v>60</x:v>
      </x:c>
      <x:c r="C4" s="8" t="n">
        <x:f>Parametros!B18</x:f>
        <x:v>46323</x:v>
      </x:c>
      <x:c r="D4" t="n">
        <x:f>B4*Parametros!B13</x:f>
        <x:v>3840</x:v>
      </x:c>
      <x:c r="E4" t="n">
        <x:f>Parametros!B14</x:f>
        <x:v>300</x:v>
      </x:c>
      <x:c r="F4" t="n">
        <x:v>0</x:v>
      </x:c>
      <x:c r="G4" t="n">
        <x:f>SUM(D4:F4)</x:f>
        <x:v>4140</x:v>
      </x:c>
      <x:c r="H4" t="n">
        <x:f>Proyectos!C2+G4</x:f>
        <x:v>24140</x:v>
      </x:c>
      <x:c r="I4" t="n">
        <x:f>H4-Proyectos!B2</x:f>
        <x:v>-860</x:v>
      </x:c>
      <x:c r="J4" t="str">
        <x:f>IF(C4&lt;=Parametros!B15,"SI","NO")</x:f>
        <x:v>SI</x:v>
      </x:c>
      <x:c r="K4" t="str">
        <x:f>IF(B4&gt;=MRP_Cambio!B3,"SI","NO")</x:f>
        <x:v>SI</x:v>
      </x:c>
      <x:c r="L4" t="str">
        <x:f>IF(AND(Parametros!B20=1,Parametros!B21=1),"SI","NO")</x:f>
        <x:v>NO</x:v>
      </x:c>
      <x:c r="M4" t="str">
        <x:f>IF(OR(J4="NO",K4="NO"),"NO FACTIBLE",IF(L4="SI","FACTIBLE CONFIRMADA","POTENCIAL / VALIDAR"))</x:f>
        <x:v>POTENCIAL / VALIDAR</x:v>
      </x:c>
      <x:c r="N4" t="str">
        <x:f>IF(M4="NO FACTIBLE","DESCARTAR POR PLAZO",IF(I4&gt;0,"ESCALAR PRESUPUESTO",IF(L4="SI","CANDIDATA A APROBACION","CONFIRMAR ANTES DE DECIDIR")))</x:f>
        <x:v>CONFIRMAR ANTES DE DECIDIR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89" hidden="0" customWidth="1"/>
  </x:cols>
  <x:sheetData>
    <x:row r="1" ht="38" customHeight="1">
      <x:c r="A1" s="4" t="str">
        <x:v>Indicador</x:v>
      </x:c>
      <x:c r="B1" s="4" t="str">
        <x:v>Resultado</x:v>
      </x:c>
      <x:c r="C1" s="4" t="str">
        <x:v>Regla</x:v>
      </x:c>
    </x:row>
    <x:row r="2">
      <x:c r="A2" t="str">
        <x:v>Menor costo entre alternativas a tiempo</x:v>
      </x:c>
      <x:c r="B2" t="n">
        <x:f>MIN(IF(Alternativas!J3="SI",Alternativas!G3,1E+12),IF(Alternativas!J4="SI",Alternativas!G4,1E+12))</x:f>
        <x:v>3970</x:v>
      </x:c>
      <x:c r="C2" t="str">
        <x:v>Solo candidatas con fecha &lt;= requerida y cantidad suficiente</x:v>
      </x:c>
    </x:row>
    <x:row r="3">
      <x:c r="A3" t="str">
        <x:v>Recomendación automática</x:v>
      </x:c>
      <x:c r="B3" t="str">
        <x:f>IF(AND(Alternativas!M3="FACTIBLE CONFIRMADA",Alternativas!I3&lt;=0),"EVALUAR EXPEDITE",IF(AND(Alternativas!M4="FACTIBLE CONFIRMADA",Alternativas!I4&lt;=0),"EVALUAR ALTERNO","PENDIENTE DE CONFIRMACION / ESCALAR"))</x:f>
        <x:v>PENDIENTE DE CONFIRMACION / ESCALAR</x:v>
      </x:c>
      <x:c r="C3" t="str">
        <x:v>Nunca aprobar sin confirmación y presupuesto</x:v>
      </x:c>
    </x:row>
    <x:row r="4">
      <x:c r="A4" t="str">
        <x:v>Costo de esperar vs expedite</x:v>
      </x:c>
      <x:c r="B4" t="n">
        <x:f>Alternativas!G2-Alternativas!G3</x:f>
        <x:v>1150</x:v>
      </x:c>
      <x:c r="C4" t="str">
        <x:v>Positivo significa que expedite ahorra frente a esperar</x:v>
      </x:c>
    </x:row>
    <x:row r="5">
      <x:c r="A5" t="str">
        <x:v>Impacto presupuestal expedite</x:v>
      </x:c>
      <x:c r="B5" t="n">
        <x:f>Alternativas!I3</x:f>
        <x:v>-1030</x:v>
      </x:c>
      <x:c r="C5" t="str">
        <x:v>Proyección - presupuesto aprobado</x:v>
      </x:c>
    </x:row>
    <x:row r="6">
      <x:c r="A6" t="str">
        <x:v>Advertencia</x:v>
      </x:c>
      <x:c r="B6" t="str">
        <x:v>Escenario simulado; precios, fechas y costo de espera sujetos a validación</x:v>
      </x:c>
      <x:c r="C6" t="str">
        <x:v>No emitir PO ni cambiar ERP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1" hidden="0" customWidth="1"/>
    <x:col min="3" max="3" width="43" hidden="0" customWidth="1"/>
    <x:col min="4" max="4" width="38" hidden="0" customWidth="1"/>
    <x:col min="5" max="5" width="16" hidden="0" customWidth="1"/>
    <x:col min="6" max="6" width="48" hidden="0" customWidth="1"/>
  </x:cols>
  <x:sheetData>
    <x:row r="1" ht="34" customHeight="1">
      <x:c r="A1" s="4" t="str">
        <x:v>ID</x:v>
      </x:c>
      <x:c r="B1" s="4" t="str">
        <x:v>Caso</x:v>
      </x:c>
      <x:c r="C1" s="4" t="str">
        <x:v>Esperado</x:v>
      </x:c>
      <x:c r="D1" s="4" t="str">
        <x:v>Resultado de cálculo independiente</x:v>
      </x:c>
      <x:c r="E1" s="4" t="str">
        <x:v>Estado</x:v>
      </x:c>
      <x:c r="F1" s="4" t="str">
        <x:v>Limitación</x:v>
      </x:c>
    </x:row>
    <x:row r="2">
      <x:c r="A2" t="str">
        <x:v>V01</x:v>
      </x:c>
      <x:c r="B2" t="str">
        <x:v>Incremento FG-B 25 a 45</x:v>
      </x:c>
      <x:c r="C2" t="str">
        <x:v>20 FG adicionales</x:v>
      </x:c>
      <x:c r="D2" t="str">
        <x:v>20</x:v>
      </x:c>
      <x:c r="E2" t="str">
        <x:v>PASS</x:v>
      </x:c>
      <x:c r="F2" t="str">
        <x:v>Cálculo aritmético</x:v>
      </x:c>
    </x:row>
    <x:row r="3">
      <x:c r="A3" t="str">
        <x:v>V02</x:v>
      </x:c>
      <x:c r="B3" t="str">
        <x:v>Explosión BOM 3x</x:v>
      </x:c>
      <x:c r="C3" t="str">
        <x:v>60 componentes</x:v>
      </x:c>
      <x:c r="D3" t="str">
        <x:v>60</x:v>
      </x:c>
      <x:c r="E3" t="str">
        <x:v>PASS</x:v>
      </x:c>
      <x:c r="F3" t="str">
        <x:v>Cálculo aritmético</x:v>
      </x:c>
    </x:row>
    <x:row r="4">
      <x:c r="A4" t="str">
        <x:v>V03</x:v>
      </x:c>
      <x:c r="B4" t="str">
        <x:v>Demanda total 30/oct</x:v>
      </x:c>
      <x:c r="C4" t="str">
        <x:v>135 componentes</x:v>
      </x:c>
      <x:c r="D4" t="str">
        <x:v>135</x:v>
      </x:c>
      <x:c r="E4" t="str">
        <x:v>PASS</x:v>
      </x:c>
      <x:c r="F4" t="str">
        <x:v>Cálculo aritmético</x:v>
      </x:c>
    </x:row>
    <x:row r="5">
      <x:c r="A5" t="str">
        <x:v>V04</x:v>
      </x:c>
      <x:c r="B5" t="str">
        <x:v>Stock después 23/oct</x:v>
      </x:c>
      <x:c r="C5" t="str">
        <x:v>30 componentes</x:v>
      </x:c>
      <x:c r="D5" t="str">
        <x:v>30</x:v>
      </x:c>
      <x:c r="E5" t="str">
        <x:v>PASS</x:v>
      </x:c>
      <x:c r="F5" t="str">
        <x:v>Cálculo aritmético</x:v>
      </x:c>
    </x:row>
    <x:row r="6">
      <x:c r="A6" t="str">
        <x:v>V05</x:v>
      </x:c>
      <x:c r="B6" t="str">
        <x:v>Faltante total 30/oct</x:v>
      </x:c>
      <x:c r="C6" t="str">
        <x:v>105 componentes</x:v>
      </x:c>
      <x:c r="D6" t="str">
        <x:v>105</x:v>
      </x:c>
      <x:c r="E6" t="str">
        <x:v>PASS</x:v>
      </x:c>
      <x:c r="F6" t="str">
        <x:v>Cálculo aritmético</x:v>
      </x:c>
    </x:row>
    <x:row r="7">
      <x:c r="A7" t="str">
        <x:v>V06</x:v>
      </x:c>
      <x:c r="B7" t="str">
        <x:v>Expedite previo 45</x:v>
      </x:c>
      <x:c r="C7" t="str">
        <x:v>60 adicional condicional</x:v>
      </x:c>
      <x:c r="D7" t="str">
        <x:v>60</x:v>
      </x:c>
      <x:c r="E7" t="str">
        <x:v>PASS</x:v>
      </x:c>
      <x:c r="F7" t="str">
        <x:v>No se supone confirmado</x:v>
      </x:c>
    </x:row>
    <x:row r="8">
      <x:c r="A8" t="str">
        <x:v>V07</x:v>
      </x:c>
      <x:c r="B8" t="str">
        <x:v>Compra normal ETA 05/nov</x:v>
      </x:c>
      <x:c r="C8" t="str">
        <x:v>No factible al 30/oct</x:v>
      </x:c>
      <x:c r="D8" t="str">
        <x:v>NO FACTIBLE</x:v>
      </x:c>
      <x:c r="E8" t="str">
        <x:v>PASS</x:v>
      </x:c>
      <x:c r="F8" t="str">
        <x:v>Por fecha</x:v>
      </x:c>
    </x:row>
    <x:row r="9">
      <x:c r="A9" t="str">
        <x:v>V08</x:v>
      </x:c>
      <x:c r="B9" t="str">
        <x:v>Expedite 29/oct</x:v>
      </x:c>
      <x:c r="C9" t="str">
        <x:v>Potencial; falta confirmación</x:v>
      </x:c>
      <x:c r="D9" t="str">
        <x:v>POTENCIAL</x:v>
      </x:c>
      <x:c r="E9" t="str">
        <x:v>PASS</x:v>
      </x:c>
      <x:c r="F9" t="str">
        <x:v>Por fecha, no capacidad</x:v>
      </x:c>
    </x:row>
    <x:row r="10">
      <x:c r="A10" t="str">
        <x:v>V09</x:v>
      </x:c>
      <x:c r="B10" t="str">
        <x:v>Material adicional 60x52</x:v>
      </x:c>
      <x:c r="C10" t="str">
        <x:v>USD 3,120</x:v>
      </x:c>
      <x:c r="D10" t="str">
        <x:v>3120</x:v>
      </x:c>
      <x:c r="E10" t="str">
        <x:v>PASS</x:v>
      </x:c>
      <x:c r="F10" t="str">
        <x:v>Costos simulados</x:v>
      </x:c>
    </x:row>
    <x:row r="11">
      <x:c r="A11" t="str">
        <x:v>V10</x:v>
      </x:c>
      <x:c r="B11" t="str">
        <x:v>Expedite material+850</x:v>
      </x:c>
      <x:c r="C11" t="str">
        <x:v>USD 3,970</x:v>
      </x:c>
      <x:c r="D11" t="str">
        <x:v>3970</x:v>
      </x:c>
      <x:c r="E11" t="str">
        <x:v>PASS</x:v>
      </x:c>
      <x:c r="F11" t="str">
        <x:v>Costos simulados</x:v>
      </x:c>
    </x:row>
    <x:row r="12">
      <x:c r="A12" t="str">
        <x:v>V11</x:v>
      </x:c>
      <x:c r="B12" t="str">
        <x:v>Alterno 60x64+300</x:v>
      </x:c>
      <x:c r="C12" t="str">
        <x:v>USD 4,140</x:v>
      </x:c>
      <x:c r="D12" t="str">
        <x:v>4140</x:v>
      </x:c>
      <x:c r="E12" t="str">
        <x:v>PASS</x:v>
      </x:c>
      <x:c r="F12" t="str">
        <x:v>Costos simulados</x:v>
      </x:c>
    </x:row>
    <x:row r="13">
      <x:c r="A13" t="str">
        <x:v>V12</x:v>
      </x:c>
      <x:c r="B13" t="str">
        <x:v>Esperar 3120+2000</x:v>
      </x:c>
      <x:c r="C13" t="str">
        <x:v>USD 5,120</x:v>
      </x:c>
      <x:c r="D13" t="str">
        <x:v>5120</x:v>
      </x:c>
      <x:c r="E13" t="str">
        <x:v>PASS</x:v>
      </x:c>
      <x:c r="F13" t="str">
        <x:v>Costo de espera supuesto</x:v>
      </x:c>
    </x:row>
    <x:row r="14">
      <x:c r="A14" t="str">
        <x:v>V13</x:v>
      </x:c>
      <x:c r="B14" t="str">
        <x:v>Presupuesto expedite</x:v>
      </x:c>
      <x:c r="C14" t="str">
        <x:v>USD 23,970</x:v>
      </x:c>
      <x:c r="D14" t="str">
        <x:v>23970</x:v>
      </x:c>
      <x:c r="E14" t="str">
        <x:v>PASS</x:v>
      </x:c>
      <x:c r="F14" t="str">
        <x:v>Comprometido 20,000</x:v>
      </x:c>
    </x:row>
    <x:row r="15">
      <x:c r="A15" t="str">
        <x:v>V14</x:v>
      </x:c>
      <x:c r="B15" t="str">
        <x:v>Cambio en Excel recalcula</x:v>
      </x:c>
      <x:c r="C15" t="str">
        <x:v>Debe verificarse en Microsoft Excel</x:v>
      </x:c>
      <x:c r="D15" t="str">
        <x:v>NO EJECUTADO</x:v>
      </x:c>
      <x:c r="E15" t="str">
        <x:v>NOT RUN</x:v>
      </x:c>
      <x:c r="F15" t="str">
        <x:v>Validación independiente pendiente</x:v>
      </x:c>
    </x:row>
    <x:row r="16">
      <x:c r="A16" t="str">
        <x:v>V15</x:v>
      </x:c>
      <x:c r="B16" t="str">
        <x:v>MOQ y órdenes múltiples</x:v>
      </x:c>
      <x:c r="C16" t="str">
        <x:v>No modelado</x:v>
      </x:c>
      <x:c r="D16" t="str">
        <x:v>NO EJECUTADO</x:v>
      </x:c>
      <x:c r="E16" t="str">
        <x:v>NOT RUN</x:v>
      </x:c>
      <x:c r="F16" t="str">
        <x:v>Backlog</x:v>
      </x:c>
    </x:row>
    <x:row r="17">
      <x:c r="A17" t="str">
        <x:v>V16</x:v>
      </x:c>
      <x:c r="B17" t="str">
        <x:v>Costos reales por proyecto</x:v>
      </x:c>
      <x:c r="C17" t="str">
        <x:v>No disponibles</x:v>
      </x:c>
      <x:c r="D17" t="str">
        <x:v>NO EJECUTADO</x:v>
      </x:c>
      <x:c r="E17" t="str">
        <x:v>NOT RUN</x:v>
      </x:c>
      <x:c r="F17" t="str">
        <x:v>Requiere fuentes financieras</x:v>
      </x:c>
    </x:row>
  </x:sheetData>
  <x:pageMargins left="0.7" right="0.7" top="0.75" bottom="0.75" header="0.3" footer="0.3"/>
</x:worksheet>
</file>