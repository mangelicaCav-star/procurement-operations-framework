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b73af618445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a43be7e29924d39"/>
    <x:sheet xmlns:r="http://schemas.openxmlformats.org/officeDocument/2006/relationships" name="PO Tracker" sheetId="2" r:id="R2812c3a93e1a47b2"/>
    <x:sheet xmlns:r="http://schemas.openxmlformats.org/officeDocument/2006/relationships" name="Risk Register" sheetId="3" r:id="R83e1e87d8807412a"/>
    <x:sheet xmlns:r="http://schemas.openxmlformats.org/officeDocument/2006/relationships" name="Start Here" sheetId="4" r:id="R1c86a0c9a1304745"/>
    <x:sheet xmlns:r="http://schemas.openxmlformats.org/officeDocument/2006/relationships" name="Settings" sheetId="5" r:id="R1341b13cf65a4f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7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4"/>
      <x:color rgb="FF17324D"/>
      <x:name val="Carlito"/>
    </x:font>
    <x:font>
      <x:sz val="11"/>
      <x:color rgb="FF17324D"/>
      <x:name val="Carlito"/>
    </x:font>
    <x:font>
      <x:sz val="11"/>
      <x:color rgb="FF68788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4F5"/>
      </x:patternFill>
    </x:fill>
    <x:fill>
      <x:patternFill patternType="solid">
        <x:fgColor rgb="FF087E8B"/>
      </x:patternFill>
    </x:fill>
    <x:fill>
      <x:patternFill patternType="solid">
        <x:fgColor rgb="FFEDF7F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3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1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1" fontId="0" fillId="5" borderId="0" xfId="0" applyNumberFormat="1" applyFont="1" applyFill="1" applyBorder="1"/>
    <x:xf numFmtId="201" fontId="0" fillId="0" borderId="0" xfId="0" applyNumberFormat="1" applyFont="1" applyFill="1" applyBorder="1"/>
    <x:xf numFmtId="201" fontId="0" fillId="5" borderId="1" xfId="0" applyNumberFormat="1" applyFont="1" applyFill="1" applyBorder="1"/>
    <x:xf numFmtId="201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1" fontId="0" fillId="3" borderId="0" xfId="0" applyNumberFormat="1" applyFont="1" applyFill="1" applyBorder="1"/>
    <x:xf numFmtId="200" fontId="4" fillId="3" borderId="0" xfId="0" applyNumberFormat="1" applyFont="1" applyFill="1" applyBorder="1"/>
    <x:xf numFmtId="0" fontId="4" fillId="3" borderId="0" xfId="0" applyNumberFormat="1" applyFont="1" applyFill="1" applyBorder="1"/>
    <x:xf numFmtId="201" fontId="4" fillId="3" borderId="0" xfId="0" applyNumberFormat="1" applyFont="1" applyFill="1" applyBorder="1"/>
    <x:xf numFmtId="201" fontId="0" fillId="3" borderId="1" xfId="0" applyNumberFormat="1" applyFont="1" applyFill="1" applyBorder="1"/>
    <x:xf numFmtId="200" fontId="4" fillId="3" borderId="1" xfId="0" applyNumberFormat="1" applyFont="1" applyFill="1" applyBorder="1"/>
    <x:xf numFmtId="0" fontId="4" fillId="3" borderId="1" xfId="0" applyNumberFormat="1" applyFont="1" applyFill="1" applyBorder="1"/>
    <x:xf numFmtId="201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</x:cellXfs>
  <x:cellStyles count="1">
    <x:cellStyle name="Normal" xfId="0"/>
  </x:cellStyles>
  <x:dxfs count="5">
    <x:dxf>
      <x:font>
        <x:color rgb="FF9C2222"/>
      </x:font>
      <x:fill>
        <x:patternFill patternType="solid">
          <x:bgColor rgb="FFF8CACA"/>
        </x:patternFill>
      </x:fill>
    </x:dxf>
    <x:dxf>
      <x:fill>
        <x:patternFill patternType="solid">
          <x:bgColor rgb="FFFFE4B2"/>
        </x:patternFill>
      </x:fill>
    </x:dxf>
    <x:dxf>
      <x:fill>
        <x:patternFill patternType="solid">
          <x:bgColor rgb="FFFFF7D5"/>
        </x:patternFill>
      </x:fill>
    </x:dxf>
    <x:dxf>
      <x:fill>
        <x:patternFill patternType="solid">
          <x:bgColor rgb="FFF8CACA"/>
        </x:patternFill>
      </x:fill>
    </x:dxf>
    <x:dxf>
      <x:fill>
        <x:patternFill patternType="solid">
          <x:bgColor rgb="FFFFE4B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481afebe09485c" /><Relationship Type="http://schemas.openxmlformats.org/officeDocument/2006/relationships/theme" Target="/xl/theme/theme1.xml" Id="R1b8f55ff6a8c4971" /><Relationship Type="http://schemas.openxmlformats.org/officeDocument/2006/relationships/sharedStrings" Target="/xl/sharedStrings.xml" Id="R3436872028f940c8" /><Relationship Type="http://schemas.openxmlformats.org/officeDocument/2006/relationships/worksheet" Target="/xl/worksheets/sheet1.xml" Id="R7a43be7e29924d39" /><Relationship Type="http://schemas.openxmlformats.org/officeDocument/2006/relationships/worksheet" Target="/xl/worksheets/sheet2.xml" Id="R2812c3a93e1a47b2" /><Relationship Type="http://schemas.openxmlformats.org/officeDocument/2006/relationships/worksheet" Target="/xl/worksheets/sheet3.xml" Id="R83e1e87d8807412a" /><Relationship Type="http://schemas.openxmlformats.org/officeDocument/2006/relationships/worksheet" Target="/xl/worksheets/sheet4.xml" Id="R1c86a0c9a1304745" /><Relationship Type="http://schemas.openxmlformats.org/officeDocument/2006/relationships/worksheet" Target="/xl/worksheets/sheet5.xml" Id="R1341b13cf65a4f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50ad858dc3046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Purchase Order Risk Distribution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PO COUNT</c:v>
          </c:tx>
          <c:cat>
            <c:strRef>
              <c:f>'Dashboard'!$D$5:$D$9</c:f>
              <c:strCache>
                <c:ptCount val="0"/>
              </c:strCache>
            </c:strRef>
          </c:cat>
          <c:val>
            <c:numRef>
              <c:f>'Dashboard'!$E$5:$E$9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9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0ad858dc30461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261a368fa3e4d64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4" max="4" width="19" hidden="0" customWidth="1"/>
    <x:col min="5" max="5" width="19" hidden="0" customWidth="1"/>
    <x:col min="7" max="7" width="19" hidden="0" customWidth="1"/>
    <x:col min="8" max="8" width="19" hidden="0" customWidth="1"/>
    <x:col min="10" max="10" width="25" hidden="0" customWidth="1"/>
    <x:col min="11" max="11" width="20" hidden="0" customWidth="1"/>
  </x:cols>
  <x:sheetData>
    <x:row r="1" ht="24" customHeight="1">
      <x:c r="A1" s="3" t="str">
        <x:v>EVOF | Procurement Control Tower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4" ht="28" customHeight="1">
      <x:c r="A4" s="30" t="str">
        <x:v>AS OF</x:v>
      </x:c>
      <x:c r="B4" s="33" t="n">
        <x:f>Settings!B4</x:f>
        <x:v>46310</x:v>
      </x:c>
      <x:c r="D4" s="18" t="str">
        <x:v>DELIVERY RISK</x:v>
      </x:c>
      <x:c r="E4" s="18" t="str">
        <x:v>PO COUNT</x:v>
      </x:c>
      <x:c r="G4" s="18" t="str">
        <x:v>RISK PRIORITY</x:v>
      </x:c>
      <x:c r="H4" s="18" t="str">
        <x:v>RISK COUNT</x:v>
      </x:c>
      <x:c r="J4" s="18" t="str">
        <x:v>RULE</x:v>
      </x:c>
      <x:c r="K4" s="18" t="str">
        <x:v>THRESHOLD</x:v>
      </x:c>
    </x:row>
    <x:row r="5" ht="31" customHeight="1">
      <x:c r="A5" s="30" t="str">
        <x:v>Total POs</x:v>
      </x:c>
      <x:c r="B5" s="34" t="n">
        <x:f>COUNTA('PO Tracker'!A5:A105)</x:f>
        <x:v>10</x:v>
      </x:c>
      <x:c r="D5" t="str">
        <x:v>Critical</x:v>
      </x:c>
      <x:c r="E5" t="n">
        <x:f>COUNTIF('PO Tracker'!Q5:Q105,D5)</x:f>
        <x:v>0</x:v>
      </x:c>
      <x:c r="G5" t="str">
        <x:v>Critical</x:v>
      </x:c>
      <x:c r="H5" t="n">
        <x:f>COUNTIF('Risk Register'!H5:H105,G5)</x:f>
        <x:v>2</x:v>
      </x:c>
      <x:c r="J5" t="str">
        <x:v>Warning window (days)</x:v>
      </x:c>
      <x:c r="K5" t="n">
        <x:f>Settings!B5</x:f>
        <x:v>7</x:v>
      </x:c>
    </x:row>
    <x:row r="6" ht="31" customHeight="1">
      <x:c r="A6" s="30" t="str">
        <x:v>Open POs</x:v>
      </x:c>
      <x:c r="B6" s="34" t="n">
        <x:f>COUNTIF('PO Tracker'!L5:L105,"&gt;0")</x:f>
        <x:v>8</x:v>
      </x:c>
      <x:c r="D6" t="str">
        <x:v>High</x:v>
      </x:c>
      <x:c r="E6" t="n">
        <x:f>COUNTIF('PO Tracker'!Q5:Q105,D6)</x:f>
        <x:v>2</x:v>
      </x:c>
      <x:c r="G6" t="str">
        <x:v>High</x:v>
      </x:c>
      <x:c r="H6" t="n">
        <x:f>COUNTIF('Risk Register'!H5:H105,G6)</x:f>
        <x:v>2</x:v>
      </x:c>
      <x:c r="J6" t="str">
        <x:v>Critical late (days)</x:v>
      </x:c>
      <x:c r="K6" t="n">
        <x:f>Settings!B6</x:f>
        <x:v>5</x:v>
      </x:c>
    </x:row>
    <x:row r="7" ht="31" customHeight="1">
      <x:c r="A7" s="30" t="str">
        <x:v>Open Exposure (USD)</x:v>
      </x:c>
      <x:c r="B7" s="35" t="n">
        <x:f>SUM('PO Tracker'!M5:M105)</x:f>
        <x:v>55855</x:v>
      </x:c>
      <x:c r="D7" t="str">
        <x:v>Watch</x:v>
      </x:c>
      <x:c r="E7" t="n">
        <x:f>COUNTIF('PO Tracker'!Q5:Q105,D7)</x:f>
        <x:v>1</x:v>
      </x:c>
      <x:c r="G7" t="str">
        <x:v>Medium</x:v>
      </x:c>
      <x:c r="H7" t="n">
        <x:f>COUNTIF('Risk Register'!H5:H105,G7)</x:f>
        <x:v>1</x:v>
      </x:c>
      <x:c r="J7" t="str">
        <x:v>High exposure (USD)</x:v>
      </x:c>
      <x:c r="K7" t="n">
        <x:f>Settings!B7</x:f>
        <x:v>5000</x:v>
      </x:c>
    </x:row>
    <x:row r="8" ht="31" customHeight="1">
      <x:c r="A8" s="30" t="str">
        <x:v>Overdue POs</x:v>
      </x:c>
      <x:c r="B8" s="34" t="n">
        <x:f>COUNTIF('PO Tracker'!O5:O105,"&gt;0")</x:f>
        <x:v>1</x:v>
      </x:c>
      <x:c r="D8" t="str">
        <x:v>Normal</x:v>
      </x:c>
      <x:c r="E8" t="n">
        <x:f>COUNTIF('PO Tracker'!Q5:Q105,D8)</x:f>
        <x:v>4</x:v>
      </x:c>
      <x:c r="G8" t="str">
        <x:v>Low</x:v>
      </x:c>
      <x:c r="H8" t="n">
        <x:f>COUNTIF('Risk Register'!H5:H105,G8)</x:f>
        <x:v>0</x:v>
      </x:c>
    </x:row>
    <x:row r="9" ht="31" customHeight="1">
      <x:c r="A9" s="30" t="str">
        <x:v>Critical / High POs</x:v>
      </x:c>
      <x:c r="B9" s="34" t="n">
        <x:f>COUNTIF('PO Tracker'!Q5:Q105,"Critical")+COUNTIF('PO Tracker'!Q5:Q105,"High")</x:f>
        <x:v>2</x:v>
      </x:c>
      <x:c r="D9" t="str">
        <x:v>Closed</x:v>
      </x:c>
      <x:c r="E9" t="n">
        <x:f>COUNTIF('PO Tracker'!Q5:Q105,D9)</x:f>
        <x:v>2</x:v>
      </x:c>
    </x:row>
    <x:row r="10" ht="31" customHeight="1">
      <x:c r="A10" s="30" t="str">
        <x:v>Open Risks</x:v>
      </x:c>
      <x:c r="B10" s="34" t="n">
        <x:f>COUNTIF('Risk Register'!M5:M105,"Open")+COUNTIF('Risk Register'!M5:M105,"In Progress")</x:f>
        <x:v>5</x:v>
      </x:c>
    </x:row>
    <x:row r="11" ht="31" customHeight="1">
      <x:c r="A11" s="30" t="str">
        <x:v>Critical / High Risks</x:v>
      </x:c>
      <x:c r="B11" s="34" t="n">
        <x:f>COUNTIFS('Risk Register'!H5:H105,"Critical",'Risk Register'!M5:M105,"&lt;&gt;Closed",'Risk Register'!A5:A105,"&lt;&gt;")+COUNTIFS('Risk Register'!H5:H105,"High",'Risk Register'!M5:M105,"&lt;&gt;Closed",'Risk Register'!A5:A105,"&lt;&gt;")</x:f>
        <x:v>4</x:v>
      </x:c>
    </x:row>
    <x:row r="12" ht="31" customHeight="1">
      <x:c r="A12" s="30" t="str">
        <x:v>Overdue Risk Actions</x:v>
      </x:c>
      <x:c r="B12" s="34" t="n">
        <x:f>COUNTIFS('Risk Register'!L5:L105,"&lt;"&amp;Settings!B4,'Risk Register'!M5:M105,"&lt;&gt;Closed",'Risk Register'!M5:M105,"&lt;&gt;Mitigated",'Risk Register'!A5:A105,"&lt;&gt;")</x:f>
        <x:v>0</x:v>
      </x:c>
    </x:row>
    <x:row r="15" ht="33" customHeight="1">
      <x:c r="A15" s="41" t="str">
        <x:v>HOW TO USE: Update light-blue inputs in PO Tracker and Risk Register; refresh snapshot date in Settings. KPIs update automatically.</x:v>
      </x:c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</x:row>
    <x:row r="17" ht="25" customHeight="1">
      <x:c r="A17" s="44" t="str">
        <x:v>Portfolio demonstration only • Synthetic data • No ERP connection • PO risk rules and action status are independently maintained</x:v>
      </x:c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</x:row>
  </x:sheetData>
  <x:mergeCells>
    <x:mergeCell ref="A1:L2"/>
    <x:mergeCell ref="A15:L15"/>
    <x:mergeCell ref="A17:L17"/>
  </x:mergeCells>
  <x:pageMargins left="0.7" right="0.7" top="0.75" bottom="0.75" header="0.3" footer="0.3"/>
  <x:drawing xmlns:r="http://schemas.openxmlformats.org/officeDocument/2006/relationships" r:id="R0261a368fa3e4d64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24" hidden="0" customWidth="1"/>
    <x:col min="4" max="4" width="2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29" hidden="0" customWidth="1"/>
    <x:col min="21" max="21" width="29" hidden="0" customWidth="1"/>
  </x:cols>
  <x:sheetData>
    <x:row r="1" ht="24" customHeight="1">
      <x:c r="A1" s="3" t="str">
        <x:v>EVOF | Purchase Order Execution Tracker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</x:row>
    <x:row r="4" ht="22" customHeight="1">
      <x:c r="A4" s="18" t="str">
        <x:v>PO Number</x:v>
      </x:c>
      <x:c r="B4" s="18" t="str">
        <x:v>Supplier</x:v>
      </x:c>
      <x:c r="C4" s="18" t="str">
        <x:v>Component / Item</x:v>
      </x:c>
      <x:c r="D4" s="18" t="str">
        <x:v>Project / Cost Center</x:v>
      </x:c>
      <x:c r="E4" s="18" t="str">
        <x:v>PO Date</x:v>
      </x:c>
      <x:c r="F4" s="18" t="str">
        <x:v>Original Due</x:v>
      </x:c>
      <x:c r="G4" s="18" t="str">
        <x:v>Revised ETA</x:v>
      </x:c>
      <x:c r="H4" s="18" t="str">
        <x:v>Ordered Qty</x:v>
      </x:c>
      <x:c r="I4" s="18" t="str">
        <x:v>Received Qty</x:v>
      </x:c>
      <x:c r="J4" s="18" t="str">
        <x:v>Unit Price USD</x:v>
      </x:c>
      <x:c r="K4" s="18" t="str">
        <x:v>PO Value USD</x:v>
      </x:c>
      <x:c r="L4" s="18" t="str">
        <x:v>Open Qty</x:v>
      </x:c>
      <x:c r="M4" s="18" t="str">
        <x:v>Open Value USD</x:v>
      </x:c>
      <x:c r="N4" s="18" t="str">
        <x:v>Days to ETA</x:v>
      </x:c>
      <x:c r="O4" s="18" t="str">
        <x:v>Days Late</x:v>
      </x:c>
      <x:c r="P4" s="18" t="str">
        <x:v>PO Status</x:v>
      </x:c>
      <x:c r="Q4" s="18" t="str">
        <x:v>Delivery Risk</x:v>
      </x:c>
      <x:c r="R4" s="18" t="str">
        <x:v>Buyer / Owner</x:v>
      </x:c>
      <x:c r="S4" s="18" t="str">
        <x:v>Last Follow-up</x:v>
      </x:c>
      <x:c r="T4" s="18" t="str">
        <x:v>Next Action</x:v>
      </x:c>
      <x:c r="U4" s="18" t="str">
        <x:v>Notes</x:v>
      </x:c>
    </x:row>
    <x:row r="5" ht="22" customHeight="1">
      <x:c r="A5" s="22" t="str">
        <x:v>PO-26001</x:v>
      </x:c>
      <x:c r="B5" s="22" t="str">
        <x:v>Supplier A</x:v>
      </x:c>
      <x:c r="C5" s="22" t="str">
        <x:v>Servo motor assembly</x:v>
      </x:c>
      <x:c r="D5" s="22" t="str">
        <x:v>LINE-01</x:v>
      </x:c>
      <x:c r="E5" s="24" t="n">
        <x:v>46282</x:v>
      </x:c>
      <x:c r="F5" s="24" t="n">
        <x:v>46307</x:v>
      </x:c>
      <x:c r="G5" s="24" t="n">
        <x:v>46308</x:v>
      </x:c>
      <x:c r="H5" s="22" t="n">
        <x:v>10</x:v>
      </x:c>
      <x:c r="I5" s="22" t="n">
        <x:v>4</x:v>
      </x:c>
      <x:c r="J5" s="26" t="n">
        <x:v>1280</x:v>
      </x:c>
      <x:c r="K5" s="27" t="n">
        <x:f>IF(A5="","",H5*J5)</x:f>
        <x:v>12800</x:v>
      </x:c>
      <x:c r="L5" t="n">
        <x:f>IF(A5="","",MAX(0,H5-I5))</x:f>
        <x:v>6</x:v>
      </x:c>
      <x:c r="M5" s="27" t="n">
        <x:f>IF(A5="","",L5*J5)</x:f>
        <x:v>7680</x:v>
      </x:c>
      <x:c r="N5" t="n">
        <x:f>IF(A5="","",IF(G5="","",G5-Settings!$B$4))</x:f>
        <x:v>-2</x:v>
      </x:c>
      <x:c r="O5" t="n">
        <x:f>IF(A5="","",IF(L5=0,0,MAX(0,Settings!$B$4-G5)))</x:f>
        <x:v>2</x:v>
      </x:c>
      <x:c r="P5" s="22" t="str">
        <x:v>Partially Received</x:v>
      </x:c>
      <x:c r="Q5" t="str">
        <x:f>IF(A5="","",IF(L5=0,"Closed",IF(OR(G5="",G5&lt;F5,I5&gt;H5),"Review Data",IF(O5&gt;=Settings!$B$6,"Critical",IF(OR(O5&gt;0,AND(N5&lt;=Settings!$B$5,M5&gt;=Settings!$B$7)),"High",IF(N5&lt;=Settings!$B$5,"Watch","Normal"))))))</x:f>
        <x:v>High</x:v>
      </x:c>
      <x:c r="R5" s="22" t="str">
        <x:v>A. Martinez</x:v>
      </x:c>
      <x:c r="S5" s="24" t="n">
        <x:v>46308</x:v>
      </x:c>
      <x:c r="T5" s="22" t="str">
        <x:v>Confirm remaining dispatch</x:v>
      </x:c>
      <x:c r="U5" s="22" t="str">
        <x:v>6 units pending</x:v>
      </x:c>
    </x:row>
    <x:row r="6" ht="22" customHeight="1">
      <x:c r="A6" s="22" t="str">
        <x:v>PO-26002</x:v>
      </x:c>
      <x:c r="B6" s="22" t="str">
        <x:v>Supplier B</x:v>
      </x:c>
      <x:c r="C6" s="22" t="str">
        <x:v>Pneumatic valves</x:v>
      </x:c>
      <x:c r="D6" s="22" t="str">
        <x:v>LINE-02</x:v>
      </x:c>
      <x:c r="E6" s="24" t="n">
        <x:v>46292</x:v>
      </x:c>
      <x:c r="F6" s="24" t="n">
        <x:v>46314</x:v>
      </x:c>
      <x:c r="G6" s="24" t="n">
        <x:v>46320</x:v>
      </x:c>
      <x:c r="H6" s="22" t="n">
        <x:v>60</x:v>
      </x:c>
      <x:c r="I6" s="22" t="n">
        <x:v>0</x:v>
      </x:c>
      <x:c r="J6" s="26" t="n">
        <x:v>145</x:v>
      </x:c>
      <x:c r="K6" s="27" t="n">
        <x:f>IF(A6="","",H6*J6)</x:f>
        <x:v>8700</x:v>
      </x:c>
      <x:c r="L6" t="n">
        <x:f>IF(A6="","",MAX(0,H6-I6))</x:f>
        <x:v>60</x:v>
      </x:c>
      <x:c r="M6" s="27" t="n">
        <x:f>IF(A6="","",L6*J6)</x:f>
        <x:v>8700</x:v>
      </x:c>
      <x:c r="N6" t="n">
        <x:f>IF(A6="","",IF(G6="","",G6-Settings!$B$4))</x:f>
        <x:v>10</x:v>
      </x:c>
      <x:c r="O6" t="n">
        <x:f>IF(A6="","",IF(L6=0,0,MAX(0,Settings!$B$4-G6)))</x:f>
        <x:v>0</x:v>
      </x:c>
      <x:c r="P6" s="22" t="str">
        <x:v>Open</x:v>
      </x:c>
      <x:c r="Q6" t="str">
        <x:f>IF(A6="","",IF(L6=0,"Closed",IF(OR(G6="",G6&lt;F6,I6&gt;H6),"Review Data",IF(O6&gt;=Settings!$B$6,"Critical",IF(OR(O6&gt;0,AND(N6&lt;=Settings!$B$5,M6&gt;=Settings!$B$7)),"High",IF(N6&lt;=Settings!$B$5,"Watch","Normal"))))))</x:f>
        <x:v>Normal</x:v>
      </x:c>
      <x:c r="R6" s="22" t="str">
        <x:v>A. Martinez</x:v>
      </x:c>
      <x:c r="S6" s="24" t="n">
        <x:v>46309</x:v>
      </x:c>
      <x:c r="T6" s="22" t="str">
        <x:v>Request recovery plan</x:v>
      </x:c>
      <x:c r="U6" s="22" t="str">
        <x:v>ETA slipped 6 days</x:v>
      </x:c>
    </x:row>
    <x:row r="7" ht="22" customHeight="1">
      <x:c r="A7" s="22" t="str">
        <x:v>PO-26003</x:v>
      </x:c>
      <x:c r="B7" s="22" t="str">
        <x:v>Supplier C</x:v>
      </x:c>
      <x:c r="C7" s="22" t="str">
        <x:v>PLC controller</x:v>
      </x:c>
      <x:c r="D7" s="22" t="str">
        <x:v>PROJECT-A</x:v>
      </x:c>
      <x:c r="E7" s="24" t="n">
        <x:v>46298</x:v>
      </x:c>
      <x:c r="F7" s="24" t="n">
        <x:v>46318</x:v>
      </x:c>
      <x:c r="G7" s="24" t="n">
        <x:v>46318</x:v>
      </x:c>
      <x:c r="H7" s="22" t="n">
        <x:v>4</x:v>
      </x:c>
      <x:c r="I7" s="22" t="n">
        <x:v>0</x:v>
      </x:c>
      <x:c r="J7" s="26" t="n">
        <x:v>2250</x:v>
      </x:c>
      <x:c r="K7" s="27" t="n">
        <x:f>IF(A7="","",H7*J7)</x:f>
        <x:v>9000</x:v>
      </x:c>
      <x:c r="L7" t="n">
        <x:f>IF(A7="","",MAX(0,H7-I7))</x:f>
        <x:v>4</x:v>
      </x:c>
      <x:c r="M7" s="27" t="n">
        <x:f>IF(A7="","",L7*J7)</x:f>
        <x:v>9000</x:v>
      </x:c>
      <x:c r="N7" t="n">
        <x:f>IF(A7="","",IF(G7="","",G7-Settings!$B$4))</x:f>
        <x:v>8</x:v>
      </x:c>
      <x:c r="O7" t="n">
        <x:f>IF(A7="","",IF(L7=0,0,MAX(0,Settings!$B$4-G7)))</x:f>
        <x:v>0</x:v>
      </x:c>
      <x:c r="P7" s="22" t="str">
        <x:v>Open</x:v>
      </x:c>
      <x:c r="Q7" t="str">
        <x:f>IF(A7="","",IF(L7=0,"Closed",IF(OR(G7="",G7&lt;F7,I7&gt;H7),"Review Data",IF(O7&gt;=Settings!$B$6,"Critical",IF(OR(O7&gt;0,AND(N7&lt;=Settings!$B$5,M7&gt;=Settings!$B$7)),"High",IF(N7&lt;=Settings!$B$5,"Watch","Normal"))))))</x:f>
        <x:v>Normal</x:v>
      </x:c>
      <x:c r="R7" s="22" t="str">
        <x:v>J. Lopez</x:v>
      </x:c>
      <x:c r="S7" s="24" t="n">
        <x:v>46308</x:v>
      </x:c>
      <x:c r="T7" s="22" t="str">
        <x:v>Verify production slot</x:v>
      </x:c>
      <x:c r="U7" s="22" t="str">
        <x:v>Critical item</x:v>
      </x:c>
    </x:row>
    <x:row r="8" ht="22" customHeight="1">
      <x:c r="A8" s="22" t="str">
        <x:v>PO-26004</x:v>
      </x:c>
      <x:c r="B8" s="22" t="str">
        <x:v>Supplier A</x:v>
      </x:c>
      <x:c r="C8" s="22" t="str">
        <x:v>Industrial sensors</x:v>
      </x:c>
      <x:c r="D8" s="22" t="str">
        <x:v>LINE-01</x:v>
      </x:c>
      <x:c r="E8" s="24" t="n">
        <x:v>46290</x:v>
      </x:c>
      <x:c r="F8" s="24" t="n">
        <x:v>46309</x:v>
      </x:c>
      <x:c r="G8" s="24" t="n">
        <x:v>46309</x:v>
      </x:c>
      <x:c r="H8" s="22" t="n">
        <x:v>40</x:v>
      </x:c>
      <x:c r="I8" s="22" t="n">
        <x:v>40</x:v>
      </x:c>
      <x:c r="J8" s="26" t="n">
        <x:v>88</x:v>
      </x:c>
      <x:c r="K8" s="27" t="n">
        <x:f>IF(A8="","",H8*J8)</x:f>
        <x:v>3520</x:v>
      </x:c>
      <x:c r="L8" t="n">
        <x:f>IF(A8="","",MAX(0,H8-I8))</x:f>
        <x:v>0</x:v>
      </x:c>
      <x:c r="M8" s="27" t="n">
        <x:f>IF(A8="","",L8*J8)</x:f>
        <x:v>0</x:v>
      </x:c>
      <x:c r="N8" t="n">
        <x:f>IF(A8="","",IF(G8="","",G8-Settings!$B$4))</x:f>
        <x:v>-1</x:v>
      </x:c>
      <x:c r="O8" t="n">
        <x:f>IF(A8="","",IF(L8=0,0,MAX(0,Settings!$B$4-G8)))</x:f>
        <x:v>0</x:v>
      </x:c>
      <x:c r="P8" s="22" t="str">
        <x:v>Received</x:v>
      </x:c>
      <x:c r="Q8" t="str">
        <x:f>IF(A8="","",IF(L8=0,"Closed",IF(OR(G8="",G8&lt;F8,I8&gt;H8),"Review Data",IF(O8&gt;=Settings!$B$6,"Critical",IF(OR(O8&gt;0,AND(N8&lt;=Settings!$B$5,M8&gt;=Settings!$B$7)),"High",IF(N8&lt;=Settings!$B$5,"Watch","Normal"))))))</x:f>
        <x:v>Closed</x:v>
      </x:c>
      <x:c r="R8" s="22" t="str">
        <x:v>J. Lopez</x:v>
      </x:c>
      <x:c r="S8" s="24" t="n">
        <x:v>46309</x:v>
      </x:c>
      <x:c r="T8" s="22" t="str">
        <x:v>Close PO documentation</x:v>
      </x:c>
      <x:c r="U8" s="22" t="str">
        <x:v>Delivered complete</x:v>
      </x:c>
    </x:row>
    <x:row r="9" ht="22" customHeight="1">
      <x:c r="A9" s="22" t="str">
        <x:v>PO-26005</x:v>
      </x:c>
      <x:c r="B9" s="22" t="str">
        <x:v>Supplier B</x:v>
      </x:c>
      <x:c r="C9" s="22" t="str">
        <x:v>Drive belts</x:v>
      </x:c>
      <x:c r="D9" s="22" t="str">
        <x:v>MRO</x:v>
      </x:c>
      <x:c r="E9" s="24" t="n">
        <x:v>46302</x:v>
      </x:c>
      <x:c r="F9" s="24" t="n">
        <x:v>46313</x:v>
      </x:c>
      <x:c r="G9" s="24" t="n">
        <x:v>46313</x:v>
      </x:c>
      <x:c r="H9" s="22" t="n">
        <x:v>25</x:v>
      </x:c>
      <x:c r="I9" s="22" t="n">
        <x:v>0</x:v>
      </x:c>
      <x:c r="J9" s="26" t="n">
        <x:v>95</x:v>
      </x:c>
      <x:c r="K9" s="27" t="n">
        <x:f>IF(A9="","",H9*J9)</x:f>
        <x:v>2375</x:v>
      </x:c>
      <x:c r="L9" t="n">
        <x:f>IF(A9="","",MAX(0,H9-I9))</x:f>
        <x:v>25</x:v>
      </x:c>
      <x:c r="M9" s="27" t="n">
        <x:f>IF(A9="","",L9*J9)</x:f>
        <x:v>2375</x:v>
      </x:c>
      <x:c r="N9" t="n">
        <x:f>IF(A9="","",IF(G9="","",G9-Settings!$B$4))</x:f>
        <x:v>3</x:v>
      </x:c>
      <x:c r="O9" t="n">
        <x:f>IF(A9="","",IF(L9=0,0,MAX(0,Settings!$B$4-G9)))</x:f>
        <x:v>0</x:v>
      </x:c>
      <x:c r="P9" s="22" t="str">
        <x:v>Open</x:v>
      </x:c>
      <x:c r="Q9" t="str">
        <x:f>IF(A9="","",IF(L9=0,"Closed",IF(OR(G9="",G9&lt;F9,I9&gt;H9),"Review Data",IF(O9&gt;=Settings!$B$6,"Critical",IF(OR(O9&gt;0,AND(N9&lt;=Settings!$B$5,M9&gt;=Settings!$B$7)),"High",IF(N9&lt;=Settings!$B$5,"Watch","Normal"))))))</x:f>
        <x:v>Watch</x:v>
      </x:c>
      <x:c r="R9" s="22" t="str">
        <x:v>A. Martinez</x:v>
      </x:c>
      <x:c r="S9" s="24" t="n">
        <x:v>46309</x:v>
      </x:c>
      <x:c r="T9" s="22" t="str">
        <x:v>Confirm carrier booking</x:v>
      </x:c>
      <x:c r="U9" s="22" t="str">
        <x:v>Normal</x:v>
      </x:c>
    </x:row>
    <x:row r="10" ht="22" customHeight="1">
      <x:c r="A10" s="22" t="str">
        <x:v>PO-26006</x:v>
      </x:c>
      <x:c r="B10" s="22" t="str">
        <x:v>Supplier C</x:v>
      </x:c>
      <x:c r="C10" s="22" t="str">
        <x:v>HMI panel</x:v>
      </x:c>
      <x:c r="D10" s="22" t="str">
        <x:v>PROJECT-B</x:v>
      </x:c>
      <x:c r="E10" s="24" t="n">
        <x:v>46288</x:v>
      </x:c>
      <x:c r="F10" s="24" t="n">
        <x:v>46305</x:v>
      </x:c>
      <x:c r="G10" s="24" t="n">
        <x:v>46316</x:v>
      </x:c>
      <x:c r="H10" s="22" t="n">
        <x:v>3</x:v>
      </x:c>
      <x:c r="I10" s="22" t="n">
        <x:v>0</x:v>
      </x:c>
      <x:c r="J10" s="26" t="n">
        <x:v>3100</x:v>
      </x:c>
      <x:c r="K10" s="27" t="n">
        <x:f>IF(A10="","",H10*J10)</x:f>
        <x:v>9300</x:v>
      </x:c>
      <x:c r="L10" t="n">
        <x:f>IF(A10="","",MAX(0,H10-I10))</x:f>
        <x:v>3</x:v>
      </x:c>
      <x:c r="M10" s="27" t="n">
        <x:f>IF(A10="","",L10*J10)</x:f>
        <x:v>9300</x:v>
      </x:c>
      <x:c r="N10" t="n">
        <x:f>IF(A10="","",IF(G10="","",G10-Settings!$B$4))</x:f>
        <x:v>6</x:v>
      </x:c>
      <x:c r="O10" t="n">
        <x:f>IF(A10="","",IF(L10=0,0,MAX(0,Settings!$B$4-G10)))</x:f>
        <x:v>0</x:v>
      </x:c>
      <x:c r="P10" s="22" t="str">
        <x:v>Open</x:v>
      </x:c>
      <x:c r="Q10" t="str">
        <x:f>IF(A10="","",IF(L10=0,"Closed",IF(OR(G10="",G10&lt;F10,I10&gt;H10),"Review Data",IF(O10&gt;=Settings!$B$6,"Critical",IF(OR(O10&gt;0,AND(N10&lt;=Settings!$B$5,M10&gt;=Settings!$B$7)),"High",IF(N10&lt;=Settings!$B$5,"Watch","Normal"))))))</x:f>
        <x:v>High</x:v>
      </x:c>
      <x:c r="R10" s="22" t="str">
        <x:v>J. Lopez</x:v>
      </x:c>
      <x:c r="S10" s="24" t="n">
        <x:v>46307</x:v>
      </x:c>
      <x:c r="T10" s="22" t="str">
        <x:v>Escalate ETA change</x:v>
      </x:c>
      <x:c r="U10" s="22" t="str">
        <x:v>Engineering impacted</x:v>
      </x:c>
    </x:row>
    <x:row r="11" ht="22" customHeight="1">
      <x:c r="A11" s="22" t="str">
        <x:v>PO-26007</x:v>
      </x:c>
      <x:c r="B11" s="22" t="str">
        <x:v>Supplier A</x:v>
      </x:c>
      <x:c r="C11" s="22" t="str">
        <x:v>Electrical connectors</x:v>
      </x:c>
      <x:c r="D11" s="22" t="str">
        <x:v>MRO</x:v>
      </x:c>
      <x:c r="E11" s="24" t="n">
        <x:v>46303</x:v>
      </x:c>
      <x:c r="F11" s="24" t="n">
        <x:v>46322</x:v>
      </x:c>
      <x:c r="G11" s="24" t="n">
        <x:v>46322</x:v>
      </x:c>
      <x:c r="H11" s="22" t="n">
        <x:v>200</x:v>
      </x:c>
      <x:c r="I11" s="22" t="n">
        <x:v>0</x:v>
      </x:c>
      <x:c r="J11" s="26" t="n">
        <x:v>14</x:v>
      </x:c>
      <x:c r="K11" s="27" t="n">
        <x:f>IF(A11="","",H11*J11)</x:f>
        <x:v>2800</x:v>
      </x:c>
      <x:c r="L11" t="n">
        <x:f>IF(A11="","",MAX(0,H11-I11))</x:f>
        <x:v>200</x:v>
      </x:c>
      <x:c r="M11" s="27" t="n">
        <x:f>IF(A11="","",L11*J11)</x:f>
        <x:v>2800</x:v>
      </x:c>
      <x:c r="N11" t="n">
        <x:f>IF(A11="","",IF(G11="","",G11-Settings!$B$4))</x:f>
        <x:v>12</x:v>
      </x:c>
      <x:c r="O11" t="n">
        <x:f>IF(A11="","",IF(L11=0,0,MAX(0,Settings!$B$4-G11)))</x:f>
        <x:v>0</x:v>
      </x:c>
      <x:c r="P11" s="22" t="str">
        <x:v>Open</x:v>
      </x:c>
      <x:c r="Q11" t="str">
        <x:f>IF(A11="","",IF(L11=0,"Closed",IF(OR(G11="",G11&lt;F11,I11&gt;H11),"Review Data",IF(O11&gt;=Settings!$B$6,"Critical",IF(OR(O11&gt;0,AND(N11&lt;=Settings!$B$5,M11&gt;=Settings!$B$7)),"High",IF(N11&lt;=Settings!$B$5,"Watch","Normal"))))))</x:f>
        <x:v>Normal</x:v>
      </x:c>
      <x:c r="R11" s="22" t="str">
        <x:v>A. Martinez</x:v>
      </x:c>
      <x:c r="S11" s="24" t="n">
        <x:v>46309</x:v>
      </x:c>
      <x:c r="T11" s="22" t="str">
        <x:v>Monitor</x:v>
      </x:c>
      <x:c r="U11" s="22" t="str">
        <x:v>Low exposure</x:v>
      </x:c>
    </x:row>
    <x:row r="12" ht="22" customHeight="1">
      <x:c r="A12" s="22" t="str">
        <x:v>PO-26008</x:v>
      </x:c>
      <x:c r="B12" s="22" t="str">
        <x:v>Supplier B</x:v>
      </x:c>
      <x:c r="C12" s="22" t="str">
        <x:v>Air preparation units</x:v>
      </x:c>
      <x:c r="D12" s="22" t="str">
        <x:v>LINE-03</x:v>
      </x:c>
      <x:c r="E12" s="24" t="n">
        <x:v>46286</x:v>
      </x:c>
      <x:c r="F12" s="24" t="n">
        <x:v>46306</x:v>
      </x:c>
      <x:c r="G12" s="24" t="n">
        <x:v>46306</x:v>
      </x:c>
      <x:c r="H12" s="22" t="n">
        <x:v>12</x:v>
      </x:c>
      <x:c r="I12" s="22" t="n">
        <x:v>12</x:v>
      </x:c>
      <x:c r="J12" s="26" t="n">
        <x:v>410</x:v>
      </x:c>
      <x:c r="K12" s="27" t="n">
        <x:f>IF(A12="","",H12*J12)</x:f>
        <x:v>4920</x:v>
      </x:c>
      <x:c r="L12" t="n">
        <x:f>IF(A12="","",MAX(0,H12-I12))</x:f>
        <x:v>0</x:v>
      </x:c>
      <x:c r="M12" s="27" t="n">
        <x:f>IF(A12="","",L12*J12)</x:f>
        <x:v>0</x:v>
      </x:c>
      <x:c r="N12" t="n">
        <x:f>IF(A12="","",IF(G12="","",G12-Settings!$B$4))</x:f>
        <x:v>-4</x:v>
      </x:c>
      <x:c r="O12" t="n">
        <x:f>IF(A12="","",IF(L12=0,0,MAX(0,Settings!$B$4-G12)))</x:f>
        <x:v>0</x:v>
      </x:c>
      <x:c r="P12" s="22" t="str">
        <x:v>Received</x:v>
      </x:c>
      <x:c r="Q12" t="str">
        <x:f>IF(A12="","",IF(L12=0,"Closed",IF(OR(G12="",G12&lt;F12,I12&gt;H12),"Review Data",IF(O12&gt;=Settings!$B$6,"Critical",IF(OR(O12&gt;0,AND(N12&lt;=Settings!$B$5,M12&gt;=Settings!$B$7)),"High",IF(N12&lt;=Settings!$B$5,"Watch","Normal"))))))</x:f>
        <x:v>Closed</x:v>
      </x:c>
      <x:c r="R12" s="22" t="str">
        <x:v>J. Lopez</x:v>
      </x:c>
      <x:c r="S12" s="24" t="n">
        <x:v>46308</x:v>
      </x:c>
      <x:c r="T12" s="22" t="str">
        <x:v>Archive receipt</x:v>
      </x:c>
      <x:c r="U12" s="22" t="str">
        <x:v>Delivered</x:v>
      </x:c>
    </x:row>
    <x:row r="13" ht="22" customHeight="1">
      <x:c r="A13" s="22" t="str">
        <x:v>PO-26009</x:v>
      </x:c>
      <x:c r="B13" s="22" t="str">
        <x:v>Supplier C</x:v>
      </x:c>
      <x:c r="C13" s="22" t="str">
        <x:v>Encoder modules</x:v>
      </x:c>
      <x:c r="D13" s="22" t="str">
        <x:v>PROJECT-A</x:v>
      </x:c>
      <x:c r="E13" s="24" t="n">
        <x:v>46295</x:v>
      </x:c>
      <x:c r="F13" s="24" t="n">
        <x:v>46312</x:v>
      </x:c>
      <x:c r="G13" s="24" t="n">
        <x:v>46311</x:v>
      </x:c>
      <x:c r="H13" s="22" t="n">
        <x:v>8</x:v>
      </x:c>
      <x:c r="I13" s="22" t="n">
        <x:v>0</x:v>
      </x:c>
      <x:c r="J13" s="26" t="n">
        <x:v>680</x:v>
      </x:c>
      <x:c r="K13" s="27" t="n">
        <x:f>IF(A13="","",H13*J13)</x:f>
        <x:v>5440</x:v>
      </x:c>
      <x:c r="L13" t="n">
        <x:f>IF(A13="","",MAX(0,H13-I13))</x:f>
        <x:v>8</x:v>
      </x:c>
      <x:c r="M13" s="27" t="n">
        <x:f>IF(A13="","",L13*J13)</x:f>
        <x:v>5440</x:v>
      </x:c>
      <x:c r="N13" t="n">
        <x:f>IF(A13="","",IF(G13="","",G13-Settings!$B$4))</x:f>
        <x:v>1</x:v>
      </x:c>
      <x:c r="O13" t="n">
        <x:f>IF(A13="","",IF(L13=0,0,MAX(0,Settings!$B$4-G13)))</x:f>
        <x:v>0</x:v>
      </x:c>
      <x:c r="P13" s="22" t="str">
        <x:v>Open</x:v>
      </x:c>
      <x:c r="Q13" t="str">
        <x:f>IF(A13="","",IF(L13=0,"Closed",IF(OR(G13="",G13&lt;F13,I13&gt;H13),"Review Data",IF(O13&gt;=Settings!$B$6,"Critical",IF(OR(O13&gt;0,AND(N13&lt;=Settings!$B$5,M13&gt;=Settings!$B$7)),"High",IF(N13&lt;=Settings!$B$5,"Watch","Normal"))))))</x:f>
        <x:v>Review Data</x:v>
      </x:c>
      <x:c r="R13" s="22" t="str">
        <x:v>A. Martinez</x:v>
      </x:c>
      <x:c r="S13" s="24" t="n">
        <x:v>46309</x:v>
      </x:c>
      <x:c r="T13" s="22" t="str">
        <x:v>Obtain shipment confirmation</x:v>
      </x:c>
      <x:c r="U13" s="22" t="str">
        <x:v>Near due</x:v>
      </x:c>
    </x:row>
    <x:row r="14" ht="22" customHeight="1">
      <x:c r="A14" s="22" t="str">
        <x:v>PO-26010</x:v>
      </x:c>
      <x:c r="B14" s="22" t="str">
        <x:v>Supplier A</x:v>
      </x:c>
      <x:c r="C14" s="22" t="str">
        <x:v>Linear actuators</x:v>
      </x:c>
      <x:c r="D14" s="22" t="str">
        <x:v>PROJECT-C</x:v>
      </x:c>
      <x:c r="E14" s="24" t="n">
        <x:v>46296</x:v>
      </x:c>
      <x:c r="F14" s="24" t="n">
        <x:v>46325</x:v>
      </x:c>
      <x:c r="G14" s="24" t="n">
        <x:v>46325</x:v>
      </x:c>
      <x:c r="H14" s="22" t="n">
        <x:v>6</x:v>
      </x:c>
      <x:c r="I14" s="22" t="n">
        <x:v>0</x:v>
      </x:c>
      <x:c r="J14" s="26" t="n">
        <x:v>1760</x:v>
      </x:c>
      <x:c r="K14" s="27" t="n">
        <x:f>IF(A14="","",H14*J14)</x:f>
        <x:v>10560</x:v>
      </x:c>
      <x:c r="L14" t="n">
        <x:f>IF(A14="","",MAX(0,H14-I14))</x:f>
        <x:v>6</x:v>
      </x:c>
      <x:c r="M14" s="27" t="n">
        <x:f>IF(A14="","",L14*J14)</x:f>
        <x:v>10560</x:v>
      </x:c>
      <x:c r="N14" t="n">
        <x:f>IF(A14="","",IF(G14="","",G14-Settings!$B$4))</x:f>
        <x:v>15</x:v>
      </x:c>
      <x:c r="O14" t="n">
        <x:f>IF(A14="","",IF(L14=0,0,MAX(0,Settings!$B$4-G14)))</x:f>
        <x:v>0</x:v>
      </x:c>
      <x:c r="P14" s="22" t="str">
        <x:v>Open</x:v>
      </x:c>
      <x:c r="Q14" t="str">
        <x:f>IF(A14="","",IF(L14=0,"Closed",IF(OR(G14="",G14&lt;F14,I14&gt;H14),"Review Data",IF(O14&gt;=Settings!$B$6,"Critical",IF(OR(O14&gt;0,AND(N14&lt;=Settings!$B$5,M14&gt;=Settings!$B$7)),"High",IF(N14&lt;=Settings!$B$5,"Watch","Normal"))))))</x:f>
        <x:v>Normal</x:v>
      </x:c>
      <x:c r="R14" s="22" t="str">
        <x:v>J. Lopez</x:v>
      </x:c>
      <x:c r="S14" s="24" t="n">
        <x:v>46308</x:v>
      </x:c>
      <x:c r="T14" s="22" t="str">
        <x:v>Check manufacturing status</x:v>
      </x:c>
      <x:c r="U14" s="22" t="str">
        <x:v>Project installation scheduled</x:v>
      </x:c>
    </x:row>
    <x:row r="15" ht="22" customHeight="1">
      <x:c r="A15" s="22"/>
      <x:c r="B15" s="22"/>
      <x:c r="C15" s="22"/>
      <x:c r="D15" s="22"/>
      <x:c r="E15" s="24"/>
      <x:c r="F15" s="24"/>
      <x:c r="G15" s="24"/>
      <x:c r="H15" s="22"/>
      <x:c r="I15" s="22"/>
      <x:c r="J15" s="26"/>
      <x:c r="K15" s="27" t="str">
        <x:f>IF(A15="","",H15*J15)</x:f>
      </x:c>
      <x:c r="L15" t="str">
        <x:f>IF(A15="","",MAX(0,H15-I15))</x:f>
      </x:c>
      <x:c r="M15" s="27" t="str">
        <x:f>IF(A15="","",L15*J15)</x:f>
      </x:c>
      <x:c r="N15" t="str">
        <x:f>IF(A15="","",IF(G15="","",G15-Settings!$B$4))</x:f>
      </x:c>
      <x:c r="O15" t="str">
        <x:f>IF(A15="","",IF(L15=0,0,MAX(0,Settings!$B$4-G15)))</x:f>
      </x:c>
      <x:c r="P15" s="22"/>
      <x:c r="Q15" t="str">
        <x:f>IF(A15="","",IF(L15=0,"Closed",IF(OR(G15="",G15&lt;F15,I15&gt;H15),"Review Data",IF(O15&gt;=Settings!$B$6,"Critical",IF(OR(O15&gt;0,AND(N15&lt;=Settings!$B$5,M15&gt;=Settings!$B$7)),"High",IF(N15&lt;=Settings!$B$5,"Watch","Normal"))))))</x:f>
      </x:c>
      <x:c r="R15" s="22"/>
      <x:c r="S15" s="24"/>
      <x:c r="T15" s="22"/>
      <x:c r="U15" s="22"/>
    </x:row>
    <x:row r="16" ht="22" customHeight="1">
      <x:c r="A16" s="22"/>
      <x:c r="B16" s="22"/>
      <x:c r="C16" s="22"/>
      <x:c r="D16" s="22"/>
      <x:c r="E16" s="24"/>
      <x:c r="F16" s="24"/>
      <x:c r="G16" s="24"/>
      <x:c r="H16" s="22"/>
      <x:c r="I16" s="22"/>
      <x:c r="J16" s="26"/>
      <x:c r="K16" s="27" t="str">
        <x:f>IF(A16="","",H16*J16)</x:f>
      </x:c>
      <x:c r="L16" t="str">
        <x:f>IF(A16="","",MAX(0,H16-I16))</x:f>
      </x:c>
      <x:c r="M16" s="27" t="str">
        <x:f>IF(A16="","",L16*J16)</x:f>
      </x:c>
      <x:c r="N16" t="str">
        <x:f>IF(A16="","",IF(G16="","",G16-Settings!$B$4))</x:f>
      </x:c>
      <x:c r="O16" t="str">
        <x:f>IF(A16="","",IF(L16=0,0,MAX(0,Settings!$B$4-G16)))</x:f>
      </x:c>
      <x:c r="P16" s="22"/>
      <x:c r="Q16" t="str">
        <x:f>IF(A16="","",IF(L16=0,"Closed",IF(OR(G16="",G16&lt;F16,I16&gt;H16),"Review Data",IF(O16&gt;=Settings!$B$6,"Critical",IF(OR(O16&gt;0,AND(N16&lt;=Settings!$B$5,M16&gt;=Settings!$B$7)),"High",IF(N16&lt;=Settings!$B$5,"Watch","Normal"))))))</x:f>
      </x:c>
      <x:c r="R16" s="22"/>
      <x:c r="S16" s="24"/>
      <x:c r="T16" s="22"/>
      <x:c r="U16" s="22"/>
    </x:row>
    <x:row r="17" ht="22" customHeight="1">
      <x:c r="A17" s="22"/>
      <x:c r="B17" s="22"/>
      <x:c r="C17" s="22"/>
      <x:c r="D17" s="22"/>
      <x:c r="E17" s="24"/>
      <x:c r="F17" s="24"/>
      <x:c r="G17" s="24"/>
      <x:c r="H17" s="22"/>
      <x:c r="I17" s="22"/>
      <x:c r="J17" s="26"/>
      <x:c r="K17" s="27" t="str">
        <x:f>IF(A17="","",H17*J17)</x:f>
      </x:c>
      <x:c r="L17" t="str">
        <x:f>IF(A17="","",MAX(0,H17-I17))</x:f>
      </x:c>
      <x:c r="M17" s="27" t="str">
        <x:f>IF(A17="","",L17*J17)</x:f>
      </x:c>
      <x:c r="N17" t="str">
        <x:f>IF(A17="","",IF(G17="","",G17-Settings!$B$4))</x:f>
      </x:c>
      <x:c r="O17" t="str">
        <x:f>IF(A17="","",IF(L17=0,0,MAX(0,Settings!$B$4-G17)))</x:f>
      </x:c>
      <x:c r="P17" s="22"/>
      <x:c r="Q17" t="str">
        <x:f>IF(A17="","",IF(L17=0,"Closed",IF(OR(G17="",G17&lt;F17,I17&gt;H17),"Review Data",IF(O17&gt;=Settings!$B$6,"Critical",IF(OR(O17&gt;0,AND(N17&lt;=Settings!$B$5,M17&gt;=Settings!$B$7)),"High",IF(N17&lt;=Settings!$B$5,"Watch","Normal"))))))</x:f>
      </x:c>
      <x:c r="R17" s="22"/>
      <x:c r="S17" s="24"/>
      <x:c r="T17" s="22"/>
      <x:c r="U17" s="22"/>
    </x:row>
    <x:row r="18" ht="22" customHeight="1">
      <x:c r="A18" s="22"/>
      <x:c r="B18" s="22"/>
      <x:c r="C18" s="22"/>
      <x:c r="D18" s="22"/>
      <x:c r="E18" s="24"/>
      <x:c r="F18" s="24"/>
      <x:c r="G18" s="24"/>
      <x:c r="H18" s="22"/>
      <x:c r="I18" s="22"/>
      <x:c r="J18" s="26"/>
      <x:c r="K18" s="27" t="str">
        <x:f>IF(A18="","",H18*J18)</x:f>
      </x:c>
      <x:c r="L18" t="str">
        <x:f>IF(A18="","",MAX(0,H18-I18))</x:f>
      </x:c>
      <x:c r="M18" s="27" t="str">
        <x:f>IF(A18="","",L18*J18)</x:f>
      </x:c>
      <x:c r="N18" t="str">
        <x:f>IF(A18="","",IF(G18="","",G18-Settings!$B$4))</x:f>
      </x:c>
      <x:c r="O18" t="str">
        <x:f>IF(A18="","",IF(L18=0,0,MAX(0,Settings!$B$4-G18)))</x:f>
      </x:c>
      <x:c r="P18" s="22"/>
      <x:c r="Q18" t="str">
        <x:f>IF(A18="","",IF(L18=0,"Closed",IF(OR(G18="",G18&lt;F18,I18&gt;H18),"Review Data",IF(O18&gt;=Settings!$B$6,"Critical",IF(OR(O18&gt;0,AND(N18&lt;=Settings!$B$5,M18&gt;=Settings!$B$7)),"High",IF(N18&lt;=Settings!$B$5,"Watch","Normal"))))))</x:f>
      </x:c>
      <x:c r="R18" s="22"/>
      <x:c r="S18" s="24"/>
      <x:c r="T18" s="22"/>
      <x:c r="U18" s="22"/>
    </x:row>
    <x:row r="19" ht="22" customHeight="1">
      <x:c r="A19" s="22"/>
      <x:c r="B19" s="22"/>
      <x:c r="C19" s="22"/>
      <x:c r="D19" s="22"/>
      <x:c r="E19" s="24"/>
      <x:c r="F19" s="24"/>
      <x:c r="G19" s="24"/>
      <x:c r="H19" s="22"/>
      <x:c r="I19" s="22"/>
      <x:c r="J19" s="26"/>
      <x:c r="K19" s="27" t="str">
        <x:f>IF(A19="","",H19*J19)</x:f>
      </x:c>
      <x:c r="L19" t="str">
        <x:f>IF(A19="","",MAX(0,H19-I19))</x:f>
      </x:c>
      <x:c r="M19" s="27" t="str">
        <x:f>IF(A19="","",L19*J19)</x:f>
      </x:c>
      <x:c r="N19" t="str">
        <x:f>IF(A19="","",IF(G19="","",G19-Settings!$B$4))</x:f>
      </x:c>
      <x:c r="O19" t="str">
        <x:f>IF(A19="","",IF(L19=0,0,MAX(0,Settings!$B$4-G19)))</x:f>
      </x:c>
      <x:c r="P19" s="22"/>
      <x:c r="Q19" t="str">
        <x:f>IF(A19="","",IF(L19=0,"Closed",IF(OR(G19="",G19&lt;F19,I19&gt;H19),"Review Data",IF(O19&gt;=Settings!$B$6,"Critical",IF(OR(O19&gt;0,AND(N19&lt;=Settings!$B$5,M19&gt;=Settings!$B$7)),"High",IF(N19&lt;=Settings!$B$5,"Watch","Normal"))))))</x:f>
      </x:c>
      <x:c r="R19" s="22"/>
      <x:c r="S19" s="24"/>
      <x:c r="T19" s="22"/>
      <x:c r="U19" s="22"/>
    </x:row>
    <x:row r="20" ht="22" customHeight="1">
      <x:c r="A20" s="22"/>
      <x:c r="B20" s="22"/>
      <x:c r="C20" s="22"/>
      <x:c r="D20" s="22"/>
      <x:c r="E20" s="24"/>
      <x:c r="F20" s="24"/>
      <x:c r="G20" s="24"/>
      <x:c r="H20" s="22"/>
      <x:c r="I20" s="22"/>
      <x:c r="J20" s="26"/>
      <x:c r="K20" s="27" t="str">
        <x:f>IF(A20="","",H20*J20)</x:f>
      </x:c>
      <x:c r="L20" t="str">
        <x:f>IF(A20="","",MAX(0,H20-I20))</x:f>
      </x:c>
      <x:c r="M20" s="27" t="str">
        <x:f>IF(A20="","",L20*J20)</x:f>
      </x:c>
      <x:c r="N20" t="str">
        <x:f>IF(A20="","",IF(G20="","",G20-Settings!$B$4))</x:f>
      </x:c>
      <x:c r="O20" t="str">
        <x:f>IF(A20="","",IF(L20=0,0,MAX(0,Settings!$B$4-G20)))</x:f>
      </x:c>
      <x:c r="P20" s="22"/>
      <x:c r="Q20" t="str">
        <x:f>IF(A20="","",IF(L20=0,"Closed",IF(OR(G20="",G20&lt;F20,I20&gt;H20),"Review Data",IF(O20&gt;=Settings!$B$6,"Critical",IF(OR(O20&gt;0,AND(N20&lt;=Settings!$B$5,M20&gt;=Settings!$B$7)),"High",IF(N20&lt;=Settings!$B$5,"Watch","Normal"))))))</x:f>
      </x:c>
      <x:c r="R20" s="22"/>
      <x:c r="S20" s="24"/>
      <x:c r="T20" s="22"/>
      <x:c r="U20" s="22"/>
    </x:row>
    <x:row r="21" ht="22" customHeight="1">
      <x:c r="A21" s="22"/>
      <x:c r="B21" s="22"/>
      <x:c r="C21" s="22"/>
      <x:c r="D21" s="22"/>
      <x:c r="E21" s="24"/>
      <x:c r="F21" s="24"/>
      <x:c r="G21" s="24"/>
      <x:c r="H21" s="22"/>
      <x:c r="I21" s="22"/>
      <x:c r="J21" s="26"/>
      <x:c r="K21" s="27" t="str">
        <x:f>IF(A21="","",H21*J21)</x:f>
      </x:c>
      <x:c r="L21" t="str">
        <x:f>IF(A21="","",MAX(0,H21-I21))</x:f>
      </x:c>
      <x:c r="M21" s="27" t="str">
        <x:f>IF(A21="","",L21*J21)</x:f>
      </x:c>
      <x:c r="N21" t="str">
        <x:f>IF(A21="","",IF(G21="","",G21-Settings!$B$4))</x:f>
      </x:c>
      <x:c r="O21" t="str">
        <x:f>IF(A21="","",IF(L21=0,0,MAX(0,Settings!$B$4-G21)))</x:f>
      </x:c>
      <x:c r="P21" s="22"/>
      <x:c r="Q21" t="str">
        <x:f>IF(A21="","",IF(L21=0,"Closed",IF(OR(G21="",G21&lt;F21,I21&gt;H21),"Review Data",IF(O21&gt;=Settings!$B$6,"Critical",IF(OR(O21&gt;0,AND(N21&lt;=Settings!$B$5,M21&gt;=Settings!$B$7)),"High",IF(N21&lt;=Settings!$B$5,"Watch","Normal"))))))</x:f>
      </x:c>
      <x:c r="R21" s="22"/>
      <x:c r="S21" s="24"/>
      <x:c r="T21" s="22"/>
      <x:c r="U21" s="22"/>
    </x:row>
    <x:row r="22" ht="22" customHeight="1">
      <x:c r="A22" s="22"/>
      <x:c r="B22" s="22"/>
      <x:c r="C22" s="22"/>
      <x:c r="D22" s="22"/>
      <x:c r="E22" s="24"/>
      <x:c r="F22" s="24"/>
      <x:c r="G22" s="24"/>
      <x:c r="H22" s="22"/>
      <x:c r="I22" s="22"/>
      <x:c r="J22" s="26"/>
      <x:c r="K22" s="27" t="str">
        <x:f>IF(A22="","",H22*J22)</x:f>
      </x:c>
      <x:c r="L22" t="str">
        <x:f>IF(A22="","",MAX(0,H22-I22))</x:f>
      </x:c>
      <x:c r="M22" s="27" t="str">
        <x:f>IF(A22="","",L22*J22)</x:f>
      </x:c>
      <x:c r="N22" t="str">
        <x:f>IF(A22="","",IF(G22="","",G22-Settings!$B$4))</x:f>
      </x:c>
      <x:c r="O22" t="str">
        <x:f>IF(A22="","",IF(L22=0,0,MAX(0,Settings!$B$4-G22)))</x:f>
      </x:c>
      <x:c r="P22" s="22"/>
      <x:c r="Q22" t="str">
        <x:f>IF(A22="","",IF(L22=0,"Closed",IF(OR(G22="",G22&lt;F22,I22&gt;H22),"Review Data",IF(O22&gt;=Settings!$B$6,"Critical",IF(OR(O22&gt;0,AND(N22&lt;=Settings!$B$5,M22&gt;=Settings!$B$7)),"High",IF(N22&lt;=Settings!$B$5,"Watch","Normal"))))))</x:f>
      </x:c>
      <x:c r="R22" s="22"/>
      <x:c r="S22" s="24"/>
      <x:c r="T22" s="22"/>
      <x:c r="U22" s="22"/>
    </x:row>
    <x:row r="23" ht="22" customHeight="1">
      <x:c r="A23" s="22"/>
      <x:c r="B23" s="22"/>
      <x:c r="C23" s="22"/>
      <x:c r="D23" s="22"/>
      <x:c r="E23" s="24"/>
      <x:c r="F23" s="24"/>
      <x:c r="G23" s="24"/>
      <x:c r="H23" s="22"/>
      <x:c r="I23" s="22"/>
      <x:c r="J23" s="26"/>
      <x:c r="K23" s="27" t="str">
        <x:f>IF(A23="","",H23*J23)</x:f>
      </x:c>
      <x:c r="L23" t="str">
        <x:f>IF(A23="","",MAX(0,H23-I23))</x:f>
      </x:c>
      <x:c r="M23" s="27" t="str">
        <x:f>IF(A23="","",L23*J23)</x:f>
      </x:c>
      <x:c r="N23" t="str">
        <x:f>IF(A23="","",IF(G23="","",G23-Settings!$B$4))</x:f>
      </x:c>
      <x:c r="O23" t="str">
        <x:f>IF(A23="","",IF(L23=0,0,MAX(0,Settings!$B$4-G23)))</x:f>
      </x:c>
      <x:c r="P23" s="22"/>
      <x:c r="Q23" t="str">
        <x:f>IF(A23="","",IF(L23=0,"Closed",IF(OR(G23="",G23&lt;F23,I23&gt;H23),"Review Data",IF(O23&gt;=Settings!$B$6,"Critical",IF(OR(O23&gt;0,AND(N23&lt;=Settings!$B$5,M23&gt;=Settings!$B$7)),"High",IF(N23&lt;=Settings!$B$5,"Watch","Normal"))))))</x:f>
      </x:c>
      <x:c r="R23" s="22"/>
      <x:c r="S23" s="24"/>
      <x:c r="T23" s="22"/>
      <x:c r="U23" s="22"/>
    </x:row>
    <x:row r="24" ht="22" customHeight="1">
      <x:c r="A24" s="22"/>
      <x:c r="B24" s="22"/>
      <x:c r="C24" s="22"/>
      <x:c r="D24" s="22"/>
      <x:c r="E24" s="24"/>
      <x:c r="F24" s="24"/>
      <x:c r="G24" s="24"/>
      <x:c r="H24" s="22"/>
      <x:c r="I24" s="22"/>
      <x:c r="J24" s="26"/>
      <x:c r="K24" s="27" t="str">
        <x:f>IF(A24="","",H24*J24)</x:f>
      </x:c>
      <x:c r="L24" t="str">
        <x:f>IF(A24="","",MAX(0,H24-I24))</x:f>
      </x:c>
      <x:c r="M24" s="27" t="str">
        <x:f>IF(A24="","",L24*J24)</x:f>
      </x:c>
      <x:c r="N24" t="str">
        <x:f>IF(A24="","",IF(G24="","",G24-Settings!$B$4))</x:f>
      </x:c>
      <x:c r="O24" t="str">
        <x:f>IF(A24="","",IF(L24=0,0,MAX(0,Settings!$B$4-G24)))</x:f>
      </x:c>
      <x:c r="P24" s="22"/>
      <x:c r="Q24" t="str">
        <x:f>IF(A24="","",IF(L24=0,"Closed",IF(OR(G24="",G24&lt;F24,I24&gt;H24),"Review Data",IF(O24&gt;=Settings!$B$6,"Critical",IF(OR(O24&gt;0,AND(N24&lt;=Settings!$B$5,M24&gt;=Settings!$B$7)),"High",IF(N24&lt;=Settings!$B$5,"Watch","Normal"))))))</x:f>
      </x:c>
      <x:c r="R24" s="22"/>
      <x:c r="S24" s="24"/>
      <x:c r="T24" s="22"/>
      <x:c r="U24" s="22"/>
    </x:row>
    <x:row r="25" ht="22" customHeight="1">
      <x:c r="A25" s="22"/>
      <x:c r="B25" s="22"/>
      <x:c r="C25" s="22"/>
      <x:c r="D25" s="22"/>
      <x:c r="E25" s="24"/>
      <x:c r="F25" s="24"/>
      <x:c r="G25" s="24"/>
      <x:c r="H25" s="22"/>
      <x:c r="I25" s="22"/>
      <x:c r="J25" s="26"/>
      <x:c r="K25" s="27" t="str">
        <x:f>IF(A25="","",H25*J25)</x:f>
      </x:c>
      <x:c r="L25" t="str">
        <x:f>IF(A25="","",MAX(0,H25-I25))</x:f>
      </x:c>
      <x:c r="M25" s="27" t="str">
        <x:f>IF(A25="","",L25*J25)</x:f>
      </x:c>
      <x:c r="N25" t="str">
        <x:f>IF(A25="","",IF(G25="","",G25-Settings!$B$4))</x:f>
      </x:c>
      <x:c r="O25" t="str">
        <x:f>IF(A25="","",IF(L25=0,0,MAX(0,Settings!$B$4-G25)))</x:f>
      </x:c>
      <x:c r="P25" s="22"/>
      <x:c r="Q25" t="str">
        <x:f>IF(A25="","",IF(L25=0,"Closed",IF(OR(G25="",G25&lt;F25,I25&gt;H25),"Review Data",IF(O25&gt;=Settings!$B$6,"Critical",IF(OR(O25&gt;0,AND(N25&lt;=Settings!$B$5,M25&gt;=Settings!$B$7)),"High",IF(N25&lt;=Settings!$B$5,"Watch","Normal"))))))</x:f>
      </x:c>
      <x:c r="R25" s="22"/>
      <x:c r="S25" s="24"/>
      <x:c r="T25" s="22"/>
      <x:c r="U25" s="22"/>
    </x:row>
    <x:row r="26" ht="22" customHeight="1">
      <x:c r="A26" s="22"/>
      <x:c r="B26" s="22"/>
      <x:c r="C26" s="22"/>
      <x:c r="D26" s="22"/>
      <x:c r="E26" s="24"/>
      <x:c r="F26" s="24"/>
      <x:c r="G26" s="24"/>
      <x:c r="H26" s="22"/>
      <x:c r="I26" s="22"/>
      <x:c r="J26" s="26"/>
      <x:c r="K26" s="27" t="str">
        <x:f>IF(A26="","",H26*J26)</x:f>
      </x:c>
      <x:c r="L26" t="str">
        <x:f>IF(A26="","",MAX(0,H26-I26))</x:f>
      </x:c>
      <x:c r="M26" s="27" t="str">
        <x:f>IF(A26="","",L26*J26)</x:f>
      </x:c>
      <x:c r="N26" t="str">
        <x:f>IF(A26="","",IF(G26="","",G26-Settings!$B$4))</x:f>
      </x:c>
      <x:c r="O26" t="str">
        <x:f>IF(A26="","",IF(L26=0,0,MAX(0,Settings!$B$4-G26)))</x:f>
      </x:c>
      <x:c r="P26" s="22"/>
      <x:c r="Q26" t="str">
        <x:f>IF(A26="","",IF(L26=0,"Closed",IF(OR(G26="",G26&lt;F26,I26&gt;H26),"Review Data",IF(O26&gt;=Settings!$B$6,"Critical",IF(OR(O26&gt;0,AND(N26&lt;=Settings!$B$5,M26&gt;=Settings!$B$7)),"High",IF(N26&lt;=Settings!$B$5,"Watch","Normal"))))))</x:f>
      </x:c>
      <x:c r="R26" s="22"/>
      <x:c r="S26" s="24"/>
      <x:c r="T26" s="22"/>
      <x:c r="U26" s="22"/>
    </x:row>
    <x:row r="27" ht="22" customHeight="1">
      <x:c r="A27" s="22"/>
      <x:c r="B27" s="22"/>
      <x:c r="C27" s="22"/>
      <x:c r="D27" s="22"/>
      <x:c r="E27" s="24"/>
      <x:c r="F27" s="24"/>
      <x:c r="G27" s="24"/>
      <x:c r="H27" s="22"/>
      <x:c r="I27" s="22"/>
      <x:c r="J27" s="26"/>
      <x:c r="K27" s="27" t="str">
        <x:f>IF(A27="","",H27*J27)</x:f>
      </x:c>
      <x:c r="L27" t="str">
        <x:f>IF(A27="","",MAX(0,H27-I27))</x:f>
      </x:c>
      <x:c r="M27" s="27" t="str">
        <x:f>IF(A27="","",L27*J27)</x:f>
      </x:c>
      <x:c r="N27" t="str">
        <x:f>IF(A27="","",IF(G27="","",G27-Settings!$B$4))</x:f>
      </x:c>
      <x:c r="O27" t="str">
        <x:f>IF(A27="","",IF(L27=0,0,MAX(0,Settings!$B$4-G27)))</x:f>
      </x:c>
      <x:c r="P27" s="22"/>
      <x:c r="Q27" t="str">
        <x:f>IF(A27="","",IF(L27=0,"Closed",IF(OR(G27="",G27&lt;F27,I27&gt;H27),"Review Data",IF(O27&gt;=Settings!$B$6,"Critical",IF(OR(O27&gt;0,AND(N27&lt;=Settings!$B$5,M27&gt;=Settings!$B$7)),"High",IF(N27&lt;=Settings!$B$5,"Watch","Normal"))))))</x:f>
      </x:c>
      <x:c r="R27" s="22"/>
      <x:c r="S27" s="24"/>
      <x:c r="T27" s="22"/>
      <x:c r="U27" s="22"/>
    </x:row>
    <x:row r="28" ht="22" customHeight="1">
      <x:c r="A28" s="22"/>
      <x:c r="B28" s="22"/>
      <x:c r="C28" s="22"/>
      <x:c r="D28" s="22"/>
      <x:c r="E28" s="24"/>
      <x:c r="F28" s="24"/>
      <x:c r="G28" s="24"/>
      <x:c r="H28" s="22"/>
      <x:c r="I28" s="22"/>
      <x:c r="J28" s="26"/>
      <x:c r="K28" s="27" t="str">
        <x:f>IF(A28="","",H28*J28)</x:f>
      </x:c>
      <x:c r="L28" t="str">
        <x:f>IF(A28="","",MAX(0,H28-I28))</x:f>
      </x:c>
      <x:c r="M28" s="27" t="str">
        <x:f>IF(A28="","",L28*J28)</x:f>
      </x:c>
      <x:c r="N28" t="str">
        <x:f>IF(A28="","",IF(G28="","",G28-Settings!$B$4))</x:f>
      </x:c>
      <x:c r="O28" t="str">
        <x:f>IF(A28="","",IF(L28=0,0,MAX(0,Settings!$B$4-G28)))</x:f>
      </x:c>
      <x:c r="P28" s="22"/>
      <x:c r="Q28" t="str">
        <x:f>IF(A28="","",IF(L28=0,"Closed",IF(OR(G28="",G28&lt;F28,I28&gt;H28),"Review Data",IF(O28&gt;=Settings!$B$6,"Critical",IF(OR(O28&gt;0,AND(N28&lt;=Settings!$B$5,M28&gt;=Settings!$B$7)),"High",IF(N28&lt;=Settings!$B$5,"Watch","Normal"))))))</x:f>
      </x:c>
      <x:c r="R28" s="22"/>
      <x:c r="S28" s="24"/>
      <x:c r="T28" s="22"/>
      <x:c r="U28" s="22"/>
    </x:row>
    <x:row r="29" ht="22" customHeight="1">
      <x:c r="A29" s="22"/>
      <x:c r="B29" s="22"/>
      <x:c r="C29" s="22"/>
      <x:c r="D29" s="22"/>
      <x:c r="E29" s="24"/>
      <x:c r="F29" s="24"/>
      <x:c r="G29" s="24"/>
      <x:c r="H29" s="22"/>
      <x:c r="I29" s="22"/>
      <x:c r="J29" s="26"/>
      <x:c r="K29" s="27" t="str">
        <x:f>IF(A29="","",H29*J29)</x:f>
      </x:c>
      <x:c r="L29" t="str">
        <x:f>IF(A29="","",MAX(0,H29-I29))</x:f>
      </x:c>
      <x:c r="M29" s="27" t="str">
        <x:f>IF(A29="","",L29*J29)</x:f>
      </x:c>
      <x:c r="N29" t="str">
        <x:f>IF(A29="","",IF(G29="","",G29-Settings!$B$4))</x:f>
      </x:c>
      <x:c r="O29" t="str">
        <x:f>IF(A29="","",IF(L29=0,0,MAX(0,Settings!$B$4-G29)))</x:f>
      </x:c>
      <x:c r="P29" s="22"/>
      <x:c r="Q29" t="str">
        <x:f>IF(A29="","",IF(L29=0,"Closed",IF(OR(G29="",G29&lt;F29,I29&gt;H29),"Review Data",IF(O29&gt;=Settings!$B$6,"Critical",IF(OR(O29&gt;0,AND(N29&lt;=Settings!$B$5,M29&gt;=Settings!$B$7)),"High",IF(N29&lt;=Settings!$B$5,"Watch","Normal"))))))</x:f>
      </x:c>
      <x:c r="R29" s="22"/>
      <x:c r="S29" s="24"/>
      <x:c r="T29" s="22"/>
      <x:c r="U29" s="22"/>
    </x:row>
    <x:row r="30" ht="22" customHeight="1">
      <x:c r="A30" s="22"/>
      <x:c r="B30" s="22"/>
      <x:c r="C30" s="22"/>
      <x:c r="D30" s="22"/>
      <x:c r="E30" s="24"/>
      <x:c r="F30" s="24"/>
      <x:c r="G30" s="24"/>
      <x:c r="H30" s="22"/>
      <x:c r="I30" s="22"/>
      <x:c r="J30" s="26"/>
      <x:c r="K30" s="27" t="str">
        <x:f>IF(A30="","",H30*J30)</x:f>
      </x:c>
      <x:c r="L30" t="str">
        <x:f>IF(A30="","",MAX(0,H30-I30))</x:f>
      </x:c>
      <x:c r="M30" s="27" t="str">
        <x:f>IF(A30="","",L30*J30)</x:f>
      </x:c>
      <x:c r="N30" t="str">
        <x:f>IF(A30="","",IF(G30="","",G30-Settings!$B$4))</x:f>
      </x:c>
      <x:c r="O30" t="str">
        <x:f>IF(A30="","",IF(L30=0,0,MAX(0,Settings!$B$4-G30)))</x:f>
      </x:c>
      <x:c r="P30" s="22"/>
      <x:c r="Q30" t="str">
        <x:f>IF(A30="","",IF(L30=0,"Closed",IF(OR(G30="",G30&lt;F30,I30&gt;H30),"Review Data",IF(O30&gt;=Settings!$B$6,"Critical",IF(OR(O30&gt;0,AND(N30&lt;=Settings!$B$5,M30&gt;=Settings!$B$7)),"High",IF(N30&lt;=Settings!$B$5,"Watch","Normal"))))))</x:f>
      </x:c>
      <x:c r="R30" s="22"/>
      <x:c r="S30" s="24"/>
      <x:c r="T30" s="22"/>
      <x:c r="U30" s="22"/>
    </x:row>
    <x:row r="31" ht="22" customHeight="1">
      <x:c r="A31" s="22"/>
      <x:c r="B31" s="22"/>
      <x:c r="C31" s="22"/>
      <x:c r="D31" s="22"/>
      <x:c r="E31" s="24"/>
      <x:c r="F31" s="24"/>
      <x:c r="G31" s="24"/>
      <x:c r="H31" s="22"/>
      <x:c r="I31" s="22"/>
      <x:c r="J31" s="26"/>
      <x:c r="K31" s="27" t="str">
        <x:f>IF(A31="","",H31*J31)</x:f>
      </x:c>
      <x:c r="L31" t="str">
        <x:f>IF(A31="","",MAX(0,H31-I31))</x:f>
      </x:c>
      <x:c r="M31" s="27" t="str">
        <x:f>IF(A31="","",L31*J31)</x:f>
      </x:c>
      <x:c r="N31" t="str">
        <x:f>IF(A31="","",IF(G31="","",G31-Settings!$B$4))</x:f>
      </x:c>
      <x:c r="O31" t="str">
        <x:f>IF(A31="","",IF(L31=0,0,MAX(0,Settings!$B$4-G31)))</x:f>
      </x:c>
      <x:c r="P31" s="22"/>
      <x:c r="Q31" t="str">
        <x:f>IF(A31="","",IF(L31=0,"Closed",IF(OR(G31="",G31&lt;F31,I31&gt;H31),"Review Data",IF(O31&gt;=Settings!$B$6,"Critical",IF(OR(O31&gt;0,AND(N31&lt;=Settings!$B$5,M31&gt;=Settings!$B$7)),"High",IF(N31&lt;=Settings!$B$5,"Watch","Normal"))))))</x:f>
      </x:c>
      <x:c r="R31" s="22"/>
      <x:c r="S31" s="24"/>
      <x:c r="T31" s="22"/>
      <x:c r="U31" s="22"/>
    </x:row>
    <x:row r="32" ht="22" customHeight="1">
      <x:c r="A32" s="22"/>
      <x:c r="B32" s="22"/>
      <x:c r="C32" s="22"/>
      <x:c r="D32" s="22"/>
      <x:c r="E32" s="24"/>
      <x:c r="F32" s="24"/>
      <x:c r="G32" s="24"/>
      <x:c r="H32" s="22"/>
      <x:c r="I32" s="22"/>
      <x:c r="J32" s="26"/>
      <x:c r="K32" s="27" t="str">
        <x:f>IF(A32="","",H32*J32)</x:f>
      </x:c>
      <x:c r="L32" t="str">
        <x:f>IF(A32="","",MAX(0,H32-I32))</x:f>
      </x:c>
      <x:c r="M32" s="27" t="str">
        <x:f>IF(A32="","",L32*J32)</x:f>
      </x:c>
      <x:c r="N32" t="str">
        <x:f>IF(A32="","",IF(G32="","",G32-Settings!$B$4))</x:f>
      </x:c>
      <x:c r="O32" t="str">
        <x:f>IF(A32="","",IF(L32=0,0,MAX(0,Settings!$B$4-G32)))</x:f>
      </x:c>
      <x:c r="P32" s="22"/>
      <x:c r="Q32" t="str">
        <x:f>IF(A32="","",IF(L32=0,"Closed",IF(OR(G32="",G32&lt;F32,I32&gt;H32),"Review Data",IF(O32&gt;=Settings!$B$6,"Critical",IF(OR(O32&gt;0,AND(N32&lt;=Settings!$B$5,M32&gt;=Settings!$B$7)),"High",IF(N32&lt;=Settings!$B$5,"Watch","Normal"))))))</x:f>
      </x:c>
      <x:c r="R32" s="22"/>
      <x:c r="S32" s="24"/>
      <x:c r="T32" s="22"/>
      <x:c r="U32" s="22"/>
    </x:row>
    <x:row r="33" ht="22" customHeight="1">
      <x:c r="A33" s="22"/>
      <x:c r="B33" s="22"/>
      <x:c r="C33" s="22"/>
      <x:c r="D33" s="22"/>
      <x:c r="E33" s="24"/>
      <x:c r="F33" s="24"/>
      <x:c r="G33" s="24"/>
      <x:c r="H33" s="22"/>
      <x:c r="I33" s="22"/>
      <x:c r="J33" s="26"/>
      <x:c r="K33" s="27" t="str">
        <x:f>IF(A33="","",H33*J33)</x:f>
      </x:c>
      <x:c r="L33" t="str">
        <x:f>IF(A33="","",MAX(0,H33-I33))</x:f>
      </x:c>
      <x:c r="M33" s="27" t="str">
        <x:f>IF(A33="","",L33*J33)</x:f>
      </x:c>
      <x:c r="N33" t="str">
        <x:f>IF(A33="","",IF(G33="","",G33-Settings!$B$4))</x:f>
      </x:c>
      <x:c r="O33" t="str">
        <x:f>IF(A33="","",IF(L33=0,0,MAX(0,Settings!$B$4-G33)))</x:f>
      </x:c>
      <x:c r="P33" s="22"/>
      <x:c r="Q33" t="str">
        <x:f>IF(A33="","",IF(L33=0,"Closed",IF(OR(G33="",G33&lt;F33,I33&gt;H33),"Review Data",IF(O33&gt;=Settings!$B$6,"Critical",IF(OR(O33&gt;0,AND(N33&lt;=Settings!$B$5,M33&gt;=Settings!$B$7)),"High",IF(N33&lt;=Settings!$B$5,"Watch","Normal"))))))</x:f>
      </x:c>
      <x:c r="R33" s="22"/>
      <x:c r="S33" s="24"/>
      <x:c r="T33" s="22"/>
      <x:c r="U33" s="22"/>
    </x:row>
    <x:row r="34" ht="22" customHeight="1">
      <x:c r="A34" s="22"/>
      <x:c r="B34" s="22"/>
      <x:c r="C34" s="22"/>
      <x:c r="D34" s="22"/>
      <x:c r="E34" s="24"/>
      <x:c r="F34" s="24"/>
      <x:c r="G34" s="24"/>
      <x:c r="H34" s="22"/>
      <x:c r="I34" s="22"/>
      <x:c r="J34" s="26"/>
      <x:c r="K34" s="27" t="str">
        <x:f>IF(A34="","",H34*J34)</x:f>
      </x:c>
      <x:c r="L34" t="str">
        <x:f>IF(A34="","",MAX(0,H34-I34))</x:f>
      </x:c>
      <x:c r="M34" s="27" t="str">
        <x:f>IF(A34="","",L34*J34)</x:f>
      </x:c>
      <x:c r="N34" t="str">
        <x:f>IF(A34="","",IF(G34="","",G34-Settings!$B$4))</x:f>
      </x:c>
      <x:c r="O34" t="str">
        <x:f>IF(A34="","",IF(L34=0,0,MAX(0,Settings!$B$4-G34)))</x:f>
      </x:c>
      <x:c r="P34" s="22"/>
      <x:c r="Q34" t="str">
        <x:f>IF(A34="","",IF(L34=0,"Closed",IF(OR(G34="",G34&lt;F34,I34&gt;H34),"Review Data",IF(O34&gt;=Settings!$B$6,"Critical",IF(OR(O34&gt;0,AND(N34&lt;=Settings!$B$5,M34&gt;=Settings!$B$7)),"High",IF(N34&lt;=Settings!$B$5,"Watch","Normal"))))))</x:f>
      </x:c>
      <x:c r="R34" s="22"/>
      <x:c r="S34" s="24"/>
      <x:c r="T34" s="22"/>
      <x:c r="U34" s="22"/>
    </x:row>
    <x:row r="35" ht="22" customHeight="1">
      <x:c r="A35" s="22"/>
      <x:c r="B35" s="22"/>
      <x:c r="C35" s="22"/>
      <x:c r="D35" s="22"/>
      <x:c r="E35" s="24"/>
      <x:c r="F35" s="24"/>
      <x:c r="G35" s="24"/>
      <x:c r="H35" s="22"/>
      <x:c r="I35" s="22"/>
      <x:c r="J35" s="26"/>
      <x:c r="K35" s="27" t="str">
        <x:f>IF(A35="","",H35*J35)</x:f>
      </x:c>
      <x:c r="L35" t="str">
        <x:f>IF(A35="","",MAX(0,H35-I35))</x:f>
      </x:c>
      <x:c r="M35" s="27" t="str">
        <x:f>IF(A35="","",L35*J35)</x:f>
      </x:c>
      <x:c r="N35" t="str">
        <x:f>IF(A35="","",IF(G35="","",G35-Settings!$B$4))</x:f>
      </x:c>
      <x:c r="O35" t="str">
        <x:f>IF(A35="","",IF(L35=0,0,MAX(0,Settings!$B$4-G35)))</x:f>
      </x:c>
      <x:c r="P35" s="22"/>
      <x:c r="Q35" t="str">
        <x:f>IF(A35="","",IF(L35=0,"Closed",IF(OR(G35="",G35&lt;F35,I35&gt;H35),"Review Data",IF(O35&gt;=Settings!$B$6,"Critical",IF(OR(O35&gt;0,AND(N35&lt;=Settings!$B$5,M35&gt;=Settings!$B$7)),"High",IF(N35&lt;=Settings!$B$5,"Watch","Normal"))))))</x:f>
      </x:c>
      <x:c r="R35" s="22"/>
      <x:c r="S35" s="24"/>
      <x:c r="T35" s="22"/>
      <x:c r="U35" s="22"/>
    </x:row>
    <x:row r="36" ht="22" customHeight="1">
      <x:c r="A36" s="22"/>
      <x:c r="B36" s="22"/>
      <x:c r="C36" s="22"/>
      <x:c r="D36" s="22"/>
      <x:c r="E36" s="24"/>
      <x:c r="F36" s="24"/>
      <x:c r="G36" s="24"/>
      <x:c r="H36" s="22"/>
      <x:c r="I36" s="22"/>
      <x:c r="J36" s="26"/>
      <x:c r="K36" s="27" t="str">
        <x:f>IF(A36="","",H36*J36)</x:f>
      </x:c>
      <x:c r="L36" t="str">
        <x:f>IF(A36="","",MAX(0,H36-I36))</x:f>
      </x:c>
      <x:c r="M36" s="27" t="str">
        <x:f>IF(A36="","",L36*J36)</x:f>
      </x:c>
      <x:c r="N36" t="str">
        <x:f>IF(A36="","",IF(G36="","",G36-Settings!$B$4))</x:f>
      </x:c>
      <x:c r="O36" t="str">
        <x:f>IF(A36="","",IF(L36=0,0,MAX(0,Settings!$B$4-G36)))</x:f>
      </x:c>
      <x:c r="P36" s="22"/>
      <x:c r="Q36" t="str">
        <x:f>IF(A36="","",IF(L36=0,"Closed",IF(OR(G36="",G36&lt;F36,I36&gt;H36),"Review Data",IF(O36&gt;=Settings!$B$6,"Critical",IF(OR(O36&gt;0,AND(N36&lt;=Settings!$B$5,M36&gt;=Settings!$B$7)),"High",IF(N36&lt;=Settings!$B$5,"Watch","Normal"))))))</x:f>
      </x:c>
      <x:c r="R36" s="22"/>
      <x:c r="S36" s="24"/>
      <x:c r="T36" s="22"/>
      <x:c r="U36" s="22"/>
    </x:row>
    <x:row r="37" ht="22" customHeight="1">
      <x:c r="A37" s="22"/>
      <x:c r="B37" s="22"/>
      <x:c r="C37" s="22"/>
      <x:c r="D37" s="22"/>
      <x:c r="E37" s="24"/>
      <x:c r="F37" s="24"/>
      <x:c r="G37" s="24"/>
      <x:c r="H37" s="22"/>
      <x:c r="I37" s="22"/>
      <x:c r="J37" s="26"/>
      <x:c r="K37" s="27" t="str">
        <x:f>IF(A37="","",H37*J37)</x:f>
      </x:c>
      <x:c r="L37" t="str">
        <x:f>IF(A37="","",MAX(0,H37-I37))</x:f>
      </x:c>
      <x:c r="M37" s="27" t="str">
        <x:f>IF(A37="","",L37*J37)</x:f>
      </x:c>
      <x:c r="N37" t="str">
        <x:f>IF(A37="","",IF(G37="","",G37-Settings!$B$4))</x:f>
      </x:c>
      <x:c r="O37" t="str">
        <x:f>IF(A37="","",IF(L37=0,0,MAX(0,Settings!$B$4-G37)))</x:f>
      </x:c>
      <x:c r="P37" s="22"/>
      <x:c r="Q37" t="str">
        <x:f>IF(A37="","",IF(L37=0,"Closed",IF(OR(G37="",G37&lt;F37,I37&gt;H37),"Review Data",IF(O37&gt;=Settings!$B$6,"Critical",IF(OR(O37&gt;0,AND(N37&lt;=Settings!$B$5,M37&gt;=Settings!$B$7)),"High",IF(N37&lt;=Settings!$B$5,"Watch","Normal"))))))</x:f>
      </x:c>
      <x:c r="R37" s="22"/>
      <x:c r="S37" s="24"/>
      <x:c r="T37" s="22"/>
      <x:c r="U37" s="22"/>
    </x:row>
    <x:row r="38" ht="22" customHeight="1">
      <x:c r="A38" s="22"/>
      <x:c r="B38" s="22"/>
      <x:c r="C38" s="22"/>
      <x:c r="D38" s="22"/>
      <x:c r="E38" s="24"/>
      <x:c r="F38" s="24"/>
      <x:c r="G38" s="24"/>
      <x:c r="H38" s="22"/>
      <x:c r="I38" s="22"/>
      <x:c r="J38" s="26"/>
      <x:c r="K38" s="27" t="str">
        <x:f>IF(A38="","",H38*J38)</x:f>
      </x:c>
      <x:c r="L38" t="str">
        <x:f>IF(A38="","",MAX(0,H38-I38))</x:f>
      </x:c>
      <x:c r="M38" s="27" t="str">
        <x:f>IF(A38="","",L38*J38)</x:f>
      </x:c>
      <x:c r="N38" t="str">
        <x:f>IF(A38="","",IF(G38="","",G38-Settings!$B$4))</x:f>
      </x:c>
      <x:c r="O38" t="str">
        <x:f>IF(A38="","",IF(L38=0,0,MAX(0,Settings!$B$4-G38)))</x:f>
      </x:c>
      <x:c r="P38" s="22"/>
      <x:c r="Q38" t="str">
        <x:f>IF(A38="","",IF(L38=0,"Closed",IF(OR(G38="",G38&lt;F38,I38&gt;H38),"Review Data",IF(O38&gt;=Settings!$B$6,"Critical",IF(OR(O38&gt;0,AND(N38&lt;=Settings!$B$5,M38&gt;=Settings!$B$7)),"High",IF(N38&lt;=Settings!$B$5,"Watch","Normal"))))))</x:f>
      </x:c>
      <x:c r="R38" s="22"/>
      <x:c r="S38" s="24"/>
      <x:c r="T38" s="22"/>
      <x:c r="U38" s="22"/>
    </x:row>
    <x:row r="39" ht="22" customHeight="1">
      <x:c r="A39" s="22"/>
      <x:c r="B39" s="22"/>
      <x:c r="C39" s="22"/>
      <x:c r="D39" s="22"/>
      <x:c r="E39" s="24"/>
      <x:c r="F39" s="24"/>
      <x:c r="G39" s="24"/>
      <x:c r="H39" s="22"/>
      <x:c r="I39" s="22"/>
      <x:c r="J39" s="26"/>
      <x:c r="K39" s="27" t="str">
        <x:f>IF(A39="","",H39*J39)</x:f>
      </x:c>
      <x:c r="L39" t="str">
        <x:f>IF(A39="","",MAX(0,H39-I39))</x:f>
      </x:c>
      <x:c r="M39" s="27" t="str">
        <x:f>IF(A39="","",L39*J39)</x:f>
      </x:c>
      <x:c r="N39" t="str">
        <x:f>IF(A39="","",IF(G39="","",G39-Settings!$B$4))</x:f>
      </x:c>
      <x:c r="O39" t="str">
        <x:f>IF(A39="","",IF(L39=0,0,MAX(0,Settings!$B$4-G39)))</x:f>
      </x:c>
      <x:c r="P39" s="22"/>
      <x:c r="Q39" t="str">
        <x:f>IF(A39="","",IF(L39=0,"Closed",IF(OR(G39="",G39&lt;F39,I39&gt;H39),"Review Data",IF(O39&gt;=Settings!$B$6,"Critical",IF(OR(O39&gt;0,AND(N39&lt;=Settings!$B$5,M39&gt;=Settings!$B$7)),"High",IF(N39&lt;=Settings!$B$5,"Watch","Normal"))))))</x:f>
      </x:c>
      <x:c r="R39" s="22"/>
      <x:c r="S39" s="24"/>
      <x:c r="T39" s="22"/>
      <x:c r="U39" s="22"/>
    </x:row>
    <x:row r="40" ht="22" customHeight="1">
      <x:c r="A40" s="22"/>
      <x:c r="B40" s="22"/>
      <x:c r="C40" s="22"/>
      <x:c r="D40" s="22"/>
      <x:c r="E40" s="24"/>
      <x:c r="F40" s="24"/>
      <x:c r="G40" s="24"/>
      <x:c r="H40" s="22"/>
      <x:c r="I40" s="22"/>
      <x:c r="J40" s="26"/>
      <x:c r="K40" s="27" t="str">
        <x:f>IF(A40="","",H40*J40)</x:f>
      </x:c>
      <x:c r="L40" t="str">
        <x:f>IF(A40="","",MAX(0,H40-I40))</x:f>
      </x:c>
      <x:c r="M40" s="27" t="str">
        <x:f>IF(A40="","",L40*J40)</x:f>
      </x:c>
      <x:c r="N40" t="str">
        <x:f>IF(A40="","",IF(G40="","",G40-Settings!$B$4))</x:f>
      </x:c>
      <x:c r="O40" t="str">
        <x:f>IF(A40="","",IF(L40=0,0,MAX(0,Settings!$B$4-G40)))</x:f>
      </x:c>
      <x:c r="P40" s="22"/>
      <x:c r="Q40" t="str">
        <x:f>IF(A40="","",IF(L40=0,"Closed",IF(OR(G40="",G40&lt;F40,I40&gt;H40),"Review Data",IF(O40&gt;=Settings!$B$6,"Critical",IF(OR(O40&gt;0,AND(N40&lt;=Settings!$B$5,M40&gt;=Settings!$B$7)),"High",IF(N40&lt;=Settings!$B$5,"Watch","Normal"))))))</x:f>
      </x:c>
      <x:c r="R40" s="22"/>
      <x:c r="S40" s="24"/>
      <x:c r="T40" s="22"/>
      <x:c r="U40" s="22"/>
    </x:row>
    <x:row r="41" ht="22" customHeight="1">
      <x:c r="A41" s="22"/>
      <x:c r="B41" s="22"/>
      <x:c r="C41" s="22"/>
      <x:c r="D41" s="22"/>
      <x:c r="E41" s="24"/>
      <x:c r="F41" s="24"/>
      <x:c r="G41" s="24"/>
      <x:c r="H41" s="22"/>
      <x:c r="I41" s="22"/>
      <x:c r="J41" s="26"/>
      <x:c r="K41" s="27" t="str">
        <x:f>IF(A41="","",H41*J41)</x:f>
      </x:c>
      <x:c r="L41" t="str">
        <x:f>IF(A41="","",MAX(0,H41-I41))</x:f>
      </x:c>
      <x:c r="M41" s="27" t="str">
        <x:f>IF(A41="","",L41*J41)</x:f>
      </x:c>
      <x:c r="N41" t="str">
        <x:f>IF(A41="","",IF(G41="","",G41-Settings!$B$4))</x:f>
      </x:c>
      <x:c r="O41" t="str">
        <x:f>IF(A41="","",IF(L41=0,0,MAX(0,Settings!$B$4-G41)))</x:f>
      </x:c>
      <x:c r="P41" s="22"/>
      <x:c r="Q41" t="str">
        <x:f>IF(A41="","",IF(L41=0,"Closed",IF(OR(G41="",G41&lt;F41,I41&gt;H41),"Review Data",IF(O41&gt;=Settings!$B$6,"Critical",IF(OR(O41&gt;0,AND(N41&lt;=Settings!$B$5,M41&gt;=Settings!$B$7)),"High",IF(N41&lt;=Settings!$B$5,"Watch","Normal"))))))</x:f>
      </x:c>
      <x:c r="R41" s="22"/>
      <x:c r="S41" s="24"/>
      <x:c r="T41" s="22"/>
      <x:c r="U41" s="22"/>
    </x:row>
    <x:row r="42" ht="22" customHeight="1">
      <x:c r="A42" s="22"/>
      <x:c r="B42" s="22"/>
      <x:c r="C42" s="22"/>
      <x:c r="D42" s="22"/>
      <x:c r="E42" s="24"/>
      <x:c r="F42" s="24"/>
      <x:c r="G42" s="24"/>
      <x:c r="H42" s="22"/>
      <x:c r="I42" s="22"/>
      <x:c r="J42" s="26"/>
      <x:c r="K42" s="27" t="str">
        <x:f>IF(A42="","",H42*J42)</x:f>
      </x:c>
      <x:c r="L42" t="str">
        <x:f>IF(A42="","",MAX(0,H42-I42))</x:f>
      </x:c>
      <x:c r="M42" s="27" t="str">
        <x:f>IF(A42="","",L42*J42)</x:f>
      </x:c>
      <x:c r="N42" t="str">
        <x:f>IF(A42="","",IF(G42="","",G42-Settings!$B$4))</x:f>
      </x:c>
      <x:c r="O42" t="str">
        <x:f>IF(A42="","",IF(L42=0,0,MAX(0,Settings!$B$4-G42)))</x:f>
      </x:c>
      <x:c r="P42" s="22"/>
      <x:c r="Q42" t="str">
        <x:f>IF(A42="","",IF(L42=0,"Closed",IF(OR(G42="",G42&lt;F42,I42&gt;H42),"Review Data",IF(O42&gt;=Settings!$B$6,"Critical",IF(OR(O42&gt;0,AND(N42&lt;=Settings!$B$5,M42&gt;=Settings!$B$7)),"High",IF(N42&lt;=Settings!$B$5,"Watch","Normal"))))))</x:f>
      </x:c>
      <x:c r="R42" s="22"/>
      <x:c r="S42" s="24"/>
      <x:c r="T42" s="22"/>
      <x:c r="U42" s="22"/>
    </x:row>
    <x:row r="43" ht="22" customHeight="1">
      <x:c r="A43" s="22"/>
      <x:c r="B43" s="22"/>
      <x:c r="C43" s="22"/>
      <x:c r="D43" s="22"/>
      <x:c r="E43" s="24"/>
      <x:c r="F43" s="24"/>
      <x:c r="G43" s="24"/>
      <x:c r="H43" s="22"/>
      <x:c r="I43" s="22"/>
      <x:c r="J43" s="26"/>
      <x:c r="K43" s="27" t="str">
        <x:f>IF(A43="","",H43*J43)</x:f>
      </x:c>
      <x:c r="L43" t="str">
        <x:f>IF(A43="","",MAX(0,H43-I43))</x:f>
      </x:c>
      <x:c r="M43" s="27" t="str">
        <x:f>IF(A43="","",L43*J43)</x:f>
      </x:c>
      <x:c r="N43" t="str">
        <x:f>IF(A43="","",IF(G43="","",G43-Settings!$B$4))</x:f>
      </x:c>
      <x:c r="O43" t="str">
        <x:f>IF(A43="","",IF(L43=0,0,MAX(0,Settings!$B$4-G43)))</x:f>
      </x:c>
      <x:c r="P43" s="22"/>
      <x:c r="Q43" t="str">
        <x:f>IF(A43="","",IF(L43=0,"Closed",IF(OR(G43="",G43&lt;F43,I43&gt;H43),"Review Data",IF(O43&gt;=Settings!$B$6,"Critical",IF(OR(O43&gt;0,AND(N43&lt;=Settings!$B$5,M43&gt;=Settings!$B$7)),"High",IF(N43&lt;=Settings!$B$5,"Watch","Normal"))))))</x:f>
      </x:c>
      <x:c r="R43" s="22"/>
      <x:c r="S43" s="24"/>
      <x:c r="T43" s="22"/>
      <x:c r="U43" s="22"/>
    </x:row>
    <x:row r="44" ht="22" customHeight="1">
      <x:c r="A44" s="22"/>
      <x:c r="B44" s="22"/>
      <x:c r="C44" s="22"/>
      <x:c r="D44" s="22"/>
      <x:c r="E44" s="24"/>
      <x:c r="F44" s="24"/>
      <x:c r="G44" s="24"/>
      <x:c r="H44" s="22"/>
      <x:c r="I44" s="22"/>
      <x:c r="J44" s="26"/>
      <x:c r="K44" s="27" t="str">
        <x:f>IF(A44="","",H44*J44)</x:f>
      </x:c>
      <x:c r="L44" t="str">
        <x:f>IF(A44="","",MAX(0,H44-I44))</x:f>
      </x:c>
      <x:c r="M44" s="27" t="str">
        <x:f>IF(A44="","",L44*J44)</x:f>
      </x:c>
      <x:c r="N44" t="str">
        <x:f>IF(A44="","",IF(G44="","",G44-Settings!$B$4))</x:f>
      </x:c>
      <x:c r="O44" t="str">
        <x:f>IF(A44="","",IF(L44=0,0,MAX(0,Settings!$B$4-G44)))</x:f>
      </x:c>
      <x:c r="P44" s="22"/>
      <x:c r="Q44" t="str">
        <x:f>IF(A44="","",IF(L44=0,"Closed",IF(OR(G44="",G44&lt;F44,I44&gt;H44),"Review Data",IF(O44&gt;=Settings!$B$6,"Critical",IF(OR(O44&gt;0,AND(N44&lt;=Settings!$B$5,M44&gt;=Settings!$B$7)),"High",IF(N44&lt;=Settings!$B$5,"Watch","Normal"))))))</x:f>
      </x:c>
      <x:c r="R44" s="22"/>
      <x:c r="S44" s="24"/>
      <x:c r="T44" s="22"/>
      <x:c r="U44" s="22"/>
    </x:row>
    <x:row r="45" ht="22" customHeight="1">
      <x:c r="A45" s="22"/>
      <x:c r="B45" s="22"/>
      <x:c r="C45" s="22"/>
      <x:c r="D45" s="22"/>
      <x:c r="E45" s="24"/>
      <x:c r="F45" s="24"/>
      <x:c r="G45" s="24"/>
      <x:c r="H45" s="22"/>
      <x:c r="I45" s="22"/>
      <x:c r="J45" s="26"/>
      <x:c r="K45" s="27" t="str">
        <x:f>IF(A45="","",H45*J45)</x:f>
      </x:c>
      <x:c r="L45" t="str">
        <x:f>IF(A45="","",MAX(0,H45-I45))</x:f>
      </x:c>
      <x:c r="M45" s="27" t="str">
        <x:f>IF(A45="","",L45*J45)</x:f>
      </x:c>
      <x:c r="N45" t="str">
        <x:f>IF(A45="","",IF(G45="","",G45-Settings!$B$4))</x:f>
      </x:c>
      <x:c r="O45" t="str">
        <x:f>IF(A45="","",IF(L45=0,0,MAX(0,Settings!$B$4-G45)))</x:f>
      </x:c>
      <x:c r="P45" s="22"/>
      <x:c r="Q45" t="str">
        <x:f>IF(A45="","",IF(L45=0,"Closed",IF(OR(G45="",G45&lt;F45,I45&gt;H45),"Review Data",IF(O45&gt;=Settings!$B$6,"Critical",IF(OR(O45&gt;0,AND(N45&lt;=Settings!$B$5,M45&gt;=Settings!$B$7)),"High",IF(N45&lt;=Settings!$B$5,"Watch","Normal"))))))</x:f>
      </x:c>
      <x:c r="R45" s="22"/>
      <x:c r="S45" s="24"/>
      <x:c r="T45" s="22"/>
      <x:c r="U45" s="22"/>
    </x:row>
    <x:row r="46" ht="22" customHeight="1">
      <x:c r="A46" s="22"/>
      <x:c r="B46" s="22"/>
      <x:c r="C46" s="22"/>
      <x:c r="D46" s="22"/>
      <x:c r="E46" s="24"/>
      <x:c r="F46" s="24"/>
      <x:c r="G46" s="24"/>
      <x:c r="H46" s="22"/>
      <x:c r="I46" s="22"/>
      <x:c r="J46" s="26"/>
      <x:c r="K46" s="27" t="str">
        <x:f>IF(A46="","",H46*J46)</x:f>
      </x:c>
      <x:c r="L46" t="str">
        <x:f>IF(A46="","",MAX(0,H46-I46))</x:f>
      </x:c>
      <x:c r="M46" s="27" t="str">
        <x:f>IF(A46="","",L46*J46)</x:f>
      </x:c>
      <x:c r="N46" t="str">
        <x:f>IF(A46="","",IF(G46="","",G46-Settings!$B$4))</x:f>
      </x:c>
      <x:c r="O46" t="str">
        <x:f>IF(A46="","",IF(L46=0,0,MAX(0,Settings!$B$4-G46)))</x:f>
      </x:c>
      <x:c r="P46" s="22"/>
      <x:c r="Q46" t="str">
        <x:f>IF(A46="","",IF(L46=0,"Closed",IF(OR(G46="",G46&lt;F46,I46&gt;H46),"Review Data",IF(O46&gt;=Settings!$B$6,"Critical",IF(OR(O46&gt;0,AND(N46&lt;=Settings!$B$5,M46&gt;=Settings!$B$7)),"High",IF(N46&lt;=Settings!$B$5,"Watch","Normal"))))))</x:f>
      </x:c>
      <x:c r="R46" s="22"/>
      <x:c r="S46" s="24"/>
      <x:c r="T46" s="22"/>
      <x:c r="U46" s="22"/>
    </x:row>
    <x:row r="47" ht="22" customHeight="1">
      <x:c r="A47" s="22"/>
      <x:c r="B47" s="22"/>
      <x:c r="C47" s="22"/>
      <x:c r="D47" s="22"/>
      <x:c r="E47" s="24"/>
      <x:c r="F47" s="24"/>
      <x:c r="G47" s="24"/>
      <x:c r="H47" s="22"/>
      <x:c r="I47" s="22"/>
      <x:c r="J47" s="26"/>
      <x:c r="K47" s="27" t="str">
        <x:f>IF(A47="","",H47*J47)</x:f>
      </x:c>
      <x:c r="L47" t="str">
        <x:f>IF(A47="","",MAX(0,H47-I47))</x:f>
      </x:c>
      <x:c r="M47" s="27" t="str">
        <x:f>IF(A47="","",L47*J47)</x:f>
      </x:c>
      <x:c r="N47" t="str">
        <x:f>IF(A47="","",IF(G47="","",G47-Settings!$B$4))</x:f>
      </x:c>
      <x:c r="O47" t="str">
        <x:f>IF(A47="","",IF(L47=0,0,MAX(0,Settings!$B$4-G47)))</x:f>
      </x:c>
      <x:c r="P47" s="22"/>
      <x:c r="Q47" t="str">
        <x:f>IF(A47="","",IF(L47=0,"Closed",IF(OR(G47="",G47&lt;F47,I47&gt;H47),"Review Data",IF(O47&gt;=Settings!$B$6,"Critical",IF(OR(O47&gt;0,AND(N47&lt;=Settings!$B$5,M47&gt;=Settings!$B$7)),"High",IF(N47&lt;=Settings!$B$5,"Watch","Normal"))))))</x:f>
      </x:c>
      <x:c r="R47" s="22"/>
      <x:c r="S47" s="24"/>
      <x:c r="T47" s="22"/>
      <x:c r="U47" s="22"/>
    </x:row>
    <x:row r="48" ht="22" customHeight="1">
      <x:c r="A48" s="22"/>
      <x:c r="B48" s="22"/>
      <x:c r="C48" s="22"/>
      <x:c r="D48" s="22"/>
      <x:c r="E48" s="24"/>
      <x:c r="F48" s="24"/>
      <x:c r="G48" s="24"/>
      <x:c r="H48" s="22"/>
      <x:c r="I48" s="22"/>
      <x:c r="J48" s="26"/>
      <x:c r="K48" s="27" t="str">
        <x:f>IF(A48="","",H48*J48)</x:f>
      </x:c>
      <x:c r="L48" t="str">
        <x:f>IF(A48="","",MAX(0,H48-I48))</x:f>
      </x:c>
      <x:c r="M48" s="27" t="str">
        <x:f>IF(A48="","",L48*J48)</x:f>
      </x:c>
      <x:c r="N48" t="str">
        <x:f>IF(A48="","",IF(G48="","",G48-Settings!$B$4))</x:f>
      </x:c>
      <x:c r="O48" t="str">
        <x:f>IF(A48="","",IF(L48=0,0,MAX(0,Settings!$B$4-G48)))</x:f>
      </x:c>
      <x:c r="P48" s="22"/>
      <x:c r="Q48" t="str">
        <x:f>IF(A48="","",IF(L48=0,"Closed",IF(OR(G48="",G48&lt;F48,I48&gt;H48),"Review Data",IF(O48&gt;=Settings!$B$6,"Critical",IF(OR(O48&gt;0,AND(N48&lt;=Settings!$B$5,M48&gt;=Settings!$B$7)),"High",IF(N48&lt;=Settings!$B$5,"Watch","Normal"))))))</x:f>
      </x:c>
      <x:c r="R48" s="22"/>
      <x:c r="S48" s="24"/>
      <x:c r="T48" s="22"/>
      <x:c r="U48" s="22"/>
    </x:row>
    <x:row r="49" ht="22" customHeight="1">
      <x:c r="A49" s="22"/>
      <x:c r="B49" s="22"/>
      <x:c r="C49" s="22"/>
      <x:c r="D49" s="22"/>
      <x:c r="E49" s="24"/>
      <x:c r="F49" s="24"/>
      <x:c r="G49" s="24"/>
      <x:c r="H49" s="22"/>
      <x:c r="I49" s="22"/>
      <x:c r="J49" s="26"/>
      <x:c r="K49" s="27" t="str">
        <x:f>IF(A49="","",H49*J49)</x:f>
      </x:c>
      <x:c r="L49" t="str">
        <x:f>IF(A49="","",MAX(0,H49-I49))</x:f>
      </x:c>
      <x:c r="M49" s="27" t="str">
        <x:f>IF(A49="","",L49*J49)</x:f>
      </x:c>
      <x:c r="N49" t="str">
        <x:f>IF(A49="","",IF(G49="","",G49-Settings!$B$4))</x:f>
      </x:c>
      <x:c r="O49" t="str">
        <x:f>IF(A49="","",IF(L49=0,0,MAX(0,Settings!$B$4-G49)))</x:f>
      </x:c>
      <x:c r="P49" s="22"/>
      <x:c r="Q49" t="str">
        <x:f>IF(A49="","",IF(L49=0,"Closed",IF(OR(G49="",G49&lt;F49,I49&gt;H49),"Review Data",IF(O49&gt;=Settings!$B$6,"Critical",IF(OR(O49&gt;0,AND(N49&lt;=Settings!$B$5,M49&gt;=Settings!$B$7)),"High",IF(N49&lt;=Settings!$B$5,"Watch","Normal"))))))</x:f>
      </x:c>
      <x:c r="R49" s="22"/>
      <x:c r="S49" s="24"/>
      <x:c r="T49" s="22"/>
      <x:c r="U49" s="22"/>
    </x:row>
    <x:row r="50" ht="22" customHeight="1">
      <x:c r="A50" s="22"/>
      <x:c r="B50" s="22"/>
      <x:c r="C50" s="22"/>
      <x:c r="D50" s="22"/>
      <x:c r="E50" s="24"/>
      <x:c r="F50" s="24"/>
      <x:c r="G50" s="24"/>
      <x:c r="H50" s="22"/>
      <x:c r="I50" s="22"/>
      <x:c r="J50" s="26"/>
      <x:c r="K50" s="27" t="str">
        <x:f>IF(A50="","",H50*J50)</x:f>
      </x:c>
      <x:c r="L50" t="str">
        <x:f>IF(A50="","",MAX(0,H50-I50))</x:f>
      </x:c>
      <x:c r="M50" s="27" t="str">
        <x:f>IF(A50="","",L50*J50)</x:f>
      </x:c>
      <x:c r="N50" t="str">
        <x:f>IF(A50="","",IF(G50="","",G50-Settings!$B$4))</x:f>
      </x:c>
      <x:c r="O50" t="str">
        <x:f>IF(A50="","",IF(L50=0,0,MAX(0,Settings!$B$4-G50)))</x:f>
      </x:c>
      <x:c r="P50" s="22"/>
      <x:c r="Q50" t="str">
        <x:f>IF(A50="","",IF(L50=0,"Closed",IF(OR(G50="",G50&lt;F50,I50&gt;H50),"Review Data",IF(O50&gt;=Settings!$B$6,"Critical",IF(OR(O50&gt;0,AND(N50&lt;=Settings!$B$5,M50&gt;=Settings!$B$7)),"High",IF(N50&lt;=Settings!$B$5,"Watch","Normal"))))))</x:f>
      </x:c>
      <x:c r="R50" s="22"/>
      <x:c r="S50" s="24"/>
      <x:c r="T50" s="22"/>
      <x:c r="U50" s="22"/>
    </x:row>
    <x:row r="51" ht="22" customHeight="1">
      <x:c r="A51" s="22"/>
      <x:c r="B51" s="22"/>
      <x:c r="C51" s="22"/>
      <x:c r="D51" s="22"/>
      <x:c r="E51" s="24"/>
      <x:c r="F51" s="24"/>
      <x:c r="G51" s="24"/>
      <x:c r="H51" s="22"/>
      <x:c r="I51" s="22"/>
      <x:c r="J51" s="26"/>
      <x:c r="K51" s="27" t="str">
        <x:f>IF(A51="","",H51*J51)</x:f>
      </x:c>
      <x:c r="L51" t="str">
        <x:f>IF(A51="","",MAX(0,H51-I51))</x:f>
      </x:c>
      <x:c r="M51" s="27" t="str">
        <x:f>IF(A51="","",L51*J51)</x:f>
      </x:c>
      <x:c r="N51" t="str">
        <x:f>IF(A51="","",IF(G51="","",G51-Settings!$B$4))</x:f>
      </x:c>
      <x:c r="O51" t="str">
        <x:f>IF(A51="","",IF(L51=0,0,MAX(0,Settings!$B$4-G51)))</x:f>
      </x:c>
      <x:c r="P51" s="22"/>
      <x:c r="Q51" t="str">
        <x:f>IF(A51="","",IF(L51=0,"Closed",IF(OR(G51="",G51&lt;F51,I51&gt;H51),"Review Data",IF(O51&gt;=Settings!$B$6,"Critical",IF(OR(O51&gt;0,AND(N51&lt;=Settings!$B$5,M51&gt;=Settings!$B$7)),"High",IF(N51&lt;=Settings!$B$5,"Watch","Normal"))))))</x:f>
      </x:c>
      <x:c r="R51" s="22"/>
      <x:c r="S51" s="24"/>
      <x:c r="T51" s="22"/>
      <x:c r="U51" s="22"/>
    </x:row>
    <x:row r="52" ht="22" customHeight="1">
      <x:c r="A52" s="22"/>
      <x:c r="B52" s="22"/>
      <x:c r="C52" s="22"/>
      <x:c r="D52" s="22"/>
      <x:c r="E52" s="24"/>
      <x:c r="F52" s="24"/>
      <x:c r="G52" s="24"/>
      <x:c r="H52" s="22"/>
      <x:c r="I52" s="22"/>
      <x:c r="J52" s="26"/>
      <x:c r="K52" s="27" t="str">
        <x:f>IF(A52="","",H52*J52)</x:f>
      </x:c>
      <x:c r="L52" t="str">
        <x:f>IF(A52="","",MAX(0,H52-I52))</x:f>
      </x:c>
      <x:c r="M52" s="27" t="str">
        <x:f>IF(A52="","",L52*J52)</x:f>
      </x:c>
      <x:c r="N52" t="str">
        <x:f>IF(A52="","",IF(G52="","",G52-Settings!$B$4))</x:f>
      </x:c>
      <x:c r="O52" t="str">
        <x:f>IF(A52="","",IF(L52=0,0,MAX(0,Settings!$B$4-G52)))</x:f>
      </x:c>
      <x:c r="P52" s="22"/>
      <x:c r="Q52" t="str">
        <x:f>IF(A52="","",IF(L52=0,"Closed",IF(OR(G52="",G52&lt;F52,I52&gt;H52),"Review Data",IF(O52&gt;=Settings!$B$6,"Critical",IF(OR(O52&gt;0,AND(N52&lt;=Settings!$B$5,M52&gt;=Settings!$B$7)),"High",IF(N52&lt;=Settings!$B$5,"Watch","Normal"))))))</x:f>
      </x:c>
      <x:c r="R52" s="22"/>
      <x:c r="S52" s="24"/>
      <x:c r="T52" s="22"/>
      <x:c r="U52" s="22"/>
    </x:row>
    <x:row r="53" ht="22" customHeight="1">
      <x:c r="A53" s="22"/>
      <x:c r="B53" s="22"/>
      <x:c r="C53" s="22"/>
      <x:c r="D53" s="22"/>
      <x:c r="E53" s="24"/>
      <x:c r="F53" s="24"/>
      <x:c r="G53" s="24"/>
      <x:c r="H53" s="22"/>
      <x:c r="I53" s="22"/>
      <x:c r="J53" s="26"/>
      <x:c r="K53" s="27" t="str">
        <x:f>IF(A53="","",H53*J53)</x:f>
      </x:c>
      <x:c r="L53" t="str">
        <x:f>IF(A53="","",MAX(0,H53-I53))</x:f>
      </x:c>
      <x:c r="M53" s="27" t="str">
        <x:f>IF(A53="","",L53*J53)</x:f>
      </x:c>
      <x:c r="N53" t="str">
        <x:f>IF(A53="","",IF(G53="","",G53-Settings!$B$4))</x:f>
      </x:c>
      <x:c r="O53" t="str">
        <x:f>IF(A53="","",IF(L53=0,0,MAX(0,Settings!$B$4-G53)))</x:f>
      </x:c>
      <x:c r="P53" s="22"/>
      <x:c r="Q53" t="str">
        <x:f>IF(A53="","",IF(L53=0,"Closed",IF(OR(G53="",G53&lt;F53,I53&gt;H53),"Review Data",IF(O53&gt;=Settings!$B$6,"Critical",IF(OR(O53&gt;0,AND(N53&lt;=Settings!$B$5,M53&gt;=Settings!$B$7)),"High",IF(N53&lt;=Settings!$B$5,"Watch","Normal"))))))</x:f>
      </x:c>
      <x:c r="R53" s="22"/>
      <x:c r="S53" s="24"/>
      <x:c r="T53" s="22"/>
      <x:c r="U53" s="22"/>
    </x:row>
    <x:row r="54" ht="22" customHeight="1">
      <x:c r="A54" s="22"/>
      <x:c r="B54" s="22"/>
      <x:c r="C54" s="22"/>
      <x:c r="D54" s="22"/>
      <x:c r="E54" s="24"/>
      <x:c r="F54" s="24"/>
      <x:c r="G54" s="24"/>
      <x:c r="H54" s="22"/>
      <x:c r="I54" s="22"/>
      <x:c r="J54" s="26"/>
      <x:c r="K54" s="27" t="str">
        <x:f>IF(A54="","",H54*J54)</x:f>
      </x:c>
      <x:c r="L54" t="str">
        <x:f>IF(A54="","",MAX(0,H54-I54))</x:f>
      </x:c>
      <x:c r="M54" s="27" t="str">
        <x:f>IF(A54="","",L54*J54)</x:f>
      </x:c>
      <x:c r="N54" t="str">
        <x:f>IF(A54="","",IF(G54="","",G54-Settings!$B$4))</x:f>
      </x:c>
      <x:c r="O54" t="str">
        <x:f>IF(A54="","",IF(L54=0,0,MAX(0,Settings!$B$4-G54)))</x:f>
      </x:c>
      <x:c r="P54" s="22"/>
      <x:c r="Q54" t="str">
        <x:f>IF(A54="","",IF(L54=0,"Closed",IF(OR(G54="",G54&lt;F54,I54&gt;H54),"Review Data",IF(O54&gt;=Settings!$B$6,"Critical",IF(OR(O54&gt;0,AND(N54&lt;=Settings!$B$5,M54&gt;=Settings!$B$7)),"High",IF(N54&lt;=Settings!$B$5,"Watch","Normal"))))))</x:f>
      </x:c>
      <x:c r="R54" s="22"/>
      <x:c r="S54" s="24"/>
      <x:c r="T54" s="22"/>
      <x:c r="U54" s="22"/>
    </x:row>
    <x:row r="55" ht="22" customHeight="1">
      <x:c r="A55" s="22"/>
      <x:c r="B55" s="22"/>
      <x:c r="C55" s="22"/>
      <x:c r="D55" s="22"/>
      <x:c r="E55" s="24"/>
      <x:c r="F55" s="24"/>
      <x:c r="G55" s="24"/>
      <x:c r="H55" s="22"/>
      <x:c r="I55" s="22"/>
      <x:c r="J55" s="26"/>
      <x:c r="K55" s="27" t="str">
        <x:f>IF(A55="","",H55*J55)</x:f>
      </x:c>
      <x:c r="L55" t="str">
        <x:f>IF(A55="","",MAX(0,H55-I55))</x:f>
      </x:c>
      <x:c r="M55" s="27" t="str">
        <x:f>IF(A55="","",L55*J55)</x:f>
      </x:c>
      <x:c r="N55" t="str">
        <x:f>IF(A55="","",IF(G55="","",G55-Settings!$B$4))</x:f>
      </x:c>
      <x:c r="O55" t="str">
        <x:f>IF(A55="","",IF(L55=0,0,MAX(0,Settings!$B$4-G55)))</x:f>
      </x:c>
      <x:c r="P55" s="22"/>
      <x:c r="Q55" t="str">
        <x:f>IF(A55="","",IF(L55=0,"Closed",IF(OR(G55="",G55&lt;F55,I55&gt;H55),"Review Data",IF(O55&gt;=Settings!$B$6,"Critical",IF(OR(O55&gt;0,AND(N55&lt;=Settings!$B$5,M55&gt;=Settings!$B$7)),"High",IF(N55&lt;=Settings!$B$5,"Watch","Normal"))))))</x:f>
      </x:c>
      <x:c r="R55" s="22"/>
      <x:c r="S55" s="24"/>
      <x:c r="T55" s="22"/>
      <x:c r="U55" s="22"/>
    </x:row>
    <x:row r="56" ht="22" customHeight="1">
      <x:c r="A56" s="22"/>
      <x:c r="B56" s="22"/>
      <x:c r="C56" s="22"/>
      <x:c r="D56" s="22"/>
      <x:c r="E56" s="24"/>
      <x:c r="F56" s="24"/>
      <x:c r="G56" s="24"/>
      <x:c r="H56" s="22"/>
      <x:c r="I56" s="22"/>
      <x:c r="J56" s="26"/>
      <x:c r="K56" s="27" t="str">
        <x:f>IF(A56="","",H56*J56)</x:f>
      </x:c>
      <x:c r="L56" t="str">
        <x:f>IF(A56="","",MAX(0,H56-I56))</x:f>
      </x:c>
      <x:c r="M56" s="27" t="str">
        <x:f>IF(A56="","",L56*J56)</x:f>
      </x:c>
      <x:c r="N56" t="str">
        <x:f>IF(A56="","",IF(G56="","",G56-Settings!$B$4))</x:f>
      </x:c>
      <x:c r="O56" t="str">
        <x:f>IF(A56="","",IF(L56=0,0,MAX(0,Settings!$B$4-G56)))</x:f>
      </x:c>
      <x:c r="P56" s="22"/>
      <x:c r="Q56" t="str">
        <x:f>IF(A56="","",IF(L56=0,"Closed",IF(OR(G56="",G56&lt;F56,I56&gt;H56),"Review Data",IF(O56&gt;=Settings!$B$6,"Critical",IF(OR(O56&gt;0,AND(N56&lt;=Settings!$B$5,M56&gt;=Settings!$B$7)),"High",IF(N56&lt;=Settings!$B$5,"Watch","Normal"))))))</x:f>
      </x:c>
      <x:c r="R56" s="22"/>
      <x:c r="S56" s="24"/>
      <x:c r="T56" s="22"/>
      <x:c r="U56" s="22"/>
    </x:row>
    <x:row r="57" ht="22" customHeight="1">
      <x:c r="A57" s="22"/>
      <x:c r="B57" s="22"/>
      <x:c r="C57" s="22"/>
      <x:c r="D57" s="22"/>
      <x:c r="E57" s="24"/>
      <x:c r="F57" s="24"/>
      <x:c r="G57" s="24"/>
      <x:c r="H57" s="22"/>
      <x:c r="I57" s="22"/>
      <x:c r="J57" s="26"/>
      <x:c r="K57" s="27" t="str">
        <x:f>IF(A57="","",H57*J57)</x:f>
      </x:c>
      <x:c r="L57" t="str">
        <x:f>IF(A57="","",MAX(0,H57-I57))</x:f>
      </x:c>
      <x:c r="M57" s="27" t="str">
        <x:f>IF(A57="","",L57*J57)</x:f>
      </x:c>
      <x:c r="N57" t="str">
        <x:f>IF(A57="","",IF(G57="","",G57-Settings!$B$4))</x:f>
      </x:c>
      <x:c r="O57" t="str">
        <x:f>IF(A57="","",IF(L57=0,0,MAX(0,Settings!$B$4-G57)))</x:f>
      </x:c>
      <x:c r="P57" s="22"/>
      <x:c r="Q57" t="str">
        <x:f>IF(A57="","",IF(L57=0,"Closed",IF(OR(G57="",G57&lt;F57,I57&gt;H57),"Review Data",IF(O57&gt;=Settings!$B$6,"Critical",IF(OR(O57&gt;0,AND(N57&lt;=Settings!$B$5,M57&gt;=Settings!$B$7)),"High",IF(N57&lt;=Settings!$B$5,"Watch","Normal"))))))</x:f>
      </x:c>
      <x:c r="R57" s="22"/>
      <x:c r="S57" s="24"/>
      <x:c r="T57" s="22"/>
      <x:c r="U57" s="22"/>
    </x:row>
    <x:row r="58" ht="22" customHeight="1">
      <x:c r="A58" s="22"/>
      <x:c r="B58" s="22"/>
      <x:c r="C58" s="22"/>
      <x:c r="D58" s="22"/>
      <x:c r="E58" s="24"/>
      <x:c r="F58" s="24"/>
      <x:c r="G58" s="24"/>
      <x:c r="H58" s="22"/>
      <x:c r="I58" s="22"/>
      <x:c r="J58" s="26"/>
      <x:c r="K58" s="27" t="str">
        <x:f>IF(A58="","",H58*J58)</x:f>
      </x:c>
      <x:c r="L58" t="str">
        <x:f>IF(A58="","",MAX(0,H58-I58))</x:f>
      </x:c>
      <x:c r="M58" s="27" t="str">
        <x:f>IF(A58="","",L58*J58)</x:f>
      </x:c>
      <x:c r="N58" t="str">
        <x:f>IF(A58="","",IF(G58="","",G58-Settings!$B$4))</x:f>
      </x:c>
      <x:c r="O58" t="str">
        <x:f>IF(A58="","",IF(L58=0,0,MAX(0,Settings!$B$4-G58)))</x:f>
      </x:c>
      <x:c r="P58" s="22"/>
      <x:c r="Q58" t="str">
        <x:f>IF(A58="","",IF(L58=0,"Closed",IF(OR(G58="",G58&lt;F58,I58&gt;H58),"Review Data",IF(O58&gt;=Settings!$B$6,"Critical",IF(OR(O58&gt;0,AND(N58&lt;=Settings!$B$5,M58&gt;=Settings!$B$7)),"High",IF(N58&lt;=Settings!$B$5,"Watch","Normal"))))))</x:f>
      </x:c>
      <x:c r="R58" s="22"/>
      <x:c r="S58" s="24"/>
      <x:c r="T58" s="22"/>
      <x:c r="U58" s="22"/>
    </x:row>
    <x:row r="59" ht="22" customHeight="1">
      <x:c r="A59" s="22"/>
      <x:c r="B59" s="22"/>
      <x:c r="C59" s="22"/>
      <x:c r="D59" s="22"/>
      <x:c r="E59" s="24"/>
      <x:c r="F59" s="24"/>
      <x:c r="G59" s="24"/>
      <x:c r="H59" s="22"/>
      <x:c r="I59" s="22"/>
      <x:c r="J59" s="26"/>
      <x:c r="K59" s="27" t="str">
        <x:f>IF(A59="","",H59*J59)</x:f>
      </x:c>
      <x:c r="L59" t="str">
        <x:f>IF(A59="","",MAX(0,H59-I59))</x:f>
      </x:c>
      <x:c r="M59" s="27" t="str">
        <x:f>IF(A59="","",L59*J59)</x:f>
      </x:c>
      <x:c r="N59" t="str">
        <x:f>IF(A59="","",IF(G59="","",G59-Settings!$B$4))</x:f>
      </x:c>
      <x:c r="O59" t="str">
        <x:f>IF(A59="","",IF(L59=0,0,MAX(0,Settings!$B$4-G59)))</x:f>
      </x:c>
      <x:c r="P59" s="22"/>
      <x:c r="Q59" t="str">
        <x:f>IF(A59="","",IF(L59=0,"Closed",IF(OR(G59="",G59&lt;F59,I59&gt;H59),"Review Data",IF(O59&gt;=Settings!$B$6,"Critical",IF(OR(O59&gt;0,AND(N59&lt;=Settings!$B$5,M59&gt;=Settings!$B$7)),"High",IF(N59&lt;=Settings!$B$5,"Watch","Normal"))))))</x:f>
      </x:c>
      <x:c r="R59" s="22"/>
      <x:c r="S59" s="24"/>
      <x:c r="T59" s="22"/>
      <x:c r="U59" s="22"/>
    </x:row>
    <x:row r="60" ht="22" customHeight="1">
      <x:c r="A60" s="22"/>
      <x:c r="B60" s="22"/>
      <x:c r="C60" s="22"/>
      <x:c r="D60" s="22"/>
      <x:c r="E60" s="24"/>
      <x:c r="F60" s="24"/>
      <x:c r="G60" s="24"/>
      <x:c r="H60" s="22"/>
      <x:c r="I60" s="22"/>
      <x:c r="J60" s="26"/>
      <x:c r="K60" s="27" t="str">
        <x:f>IF(A60="","",H60*J60)</x:f>
      </x:c>
      <x:c r="L60" t="str">
        <x:f>IF(A60="","",MAX(0,H60-I60))</x:f>
      </x:c>
      <x:c r="M60" s="27" t="str">
        <x:f>IF(A60="","",L60*J60)</x:f>
      </x:c>
      <x:c r="N60" t="str">
        <x:f>IF(A60="","",IF(G60="","",G60-Settings!$B$4))</x:f>
      </x:c>
      <x:c r="O60" t="str">
        <x:f>IF(A60="","",IF(L60=0,0,MAX(0,Settings!$B$4-G60)))</x:f>
      </x:c>
      <x:c r="P60" s="22"/>
      <x:c r="Q60" t="str">
        <x:f>IF(A60="","",IF(L60=0,"Closed",IF(OR(G60="",G60&lt;F60,I60&gt;H60),"Review Data",IF(O60&gt;=Settings!$B$6,"Critical",IF(OR(O60&gt;0,AND(N60&lt;=Settings!$B$5,M60&gt;=Settings!$B$7)),"High",IF(N60&lt;=Settings!$B$5,"Watch","Normal"))))))</x:f>
      </x:c>
      <x:c r="R60" s="22"/>
      <x:c r="S60" s="24"/>
      <x:c r="T60" s="22"/>
      <x:c r="U60" s="22"/>
    </x:row>
    <x:row r="61" ht="22" customHeight="1">
      <x:c r="A61" s="22"/>
      <x:c r="B61" s="22"/>
      <x:c r="C61" s="22"/>
      <x:c r="D61" s="22"/>
      <x:c r="E61" s="24"/>
      <x:c r="F61" s="24"/>
      <x:c r="G61" s="24"/>
      <x:c r="H61" s="22"/>
      <x:c r="I61" s="22"/>
      <x:c r="J61" s="26"/>
      <x:c r="K61" s="27" t="str">
        <x:f>IF(A61="","",H61*J61)</x:f>
      </x:c>
      <x:c r="L61" t="str">
        <x:f>IF(A61="","",MAX(0,H61-I61))</x:f>
      </x:c>
      <x:c r="M61" s="27" t="str">
        <x:f>IF(A61="","",L61*J61)</x:f>
      </x:c>
      <x:c r="N61" t="str">
        <x:f>IF(A61="","",IF(G61="","",G61-Settings!$B$4))</x:f>
      </x:c>
      <x:c r="O61" t="str">
        <x:f>IF(A61="","",IF(L61=0,0,MAX(0,Settings!$B$4-G61)))</x:f>
      </x:c>
      <x:c r="P61" s="22"/>
      <x:c r="Q61" t="str">
        <x:f>IF(A61="","",IF(L61=0,"Closed",IF(OR(G61="",G61&lt;F61,I61&gt;H61),"Review Data",IF(O61&gt;=Settings!$B$6,"Critical",IF(OR(O61&gt;0,AND(N61&lt;=Settings!$B$5,M61&gt;=Settings!$B$7)),"High",IF(N61&lt;=Settings!$B$5,"Watch","Normal"))))))</x:f>
      </x:c>
      <x:c r="R61" s="22"/>
      <x:c r="S61" s="24"/>
      <x:c r="T61" s="22"/>
      <x:c r="U61" s="22"/>
    </x:row>
    <x:row r="62" ht="22" customHeight="1">
      <x:c r="A62" s="22"/>
      <x:c r="B62" s="22"/>
      <x:c r="C62" s="22"/>
      <x:c r="D62" s="22"/>
      <x:c r="E62" s="24"/>
      <x:c r="F62" s="24"/>
      <x:c r="G62" s="24"/>
      <x:c r="H62" s="22"/>
      <x:c r="I62" s="22"/>
      <x:c r="J62" s="26"/>
      <x:c r="K62" s="27" t="str">
        <x:f>IF(A62="","",H62*J62)</x:f>
      </x:c>
      <x:c r="L62" t="str">
        <x:f>IF(A62="","",MAX(0,H62-I62))</x:f>
      </x:c>
      <x:c r="M62" s="27" t="str">
        <x:f>IF(A62="","",L62*J62)</x:f>
      </x:c>
      <x:c r="N62" t="str">
        <x:f>IF(A62="","",IF(G62="","",G62-Settings!$B$4))</x:f>
      </x:c>
      <x:c r="O62" t="str">
        <x:f>IF(A62="","",IF(L62=0,0,MAX(0,Settings!$B$4-G62)))</x:f>
      </x:c>
      <x:c r="P62" s="22"/>
      <x:c r="Q62" t="str">
        <x:f>IF(A62="","",IF(L62=0,"Closed",IF(OR(G62="",G62&lt;F62,I62&gt;H62),"Review Data",IF(O62&gt;=Settings!$B$6,"Critical",IF(OR(O62&gt;0,AND(N62&lt;=Settings!$B$5,M62&gt;=Settings!$B$7)),"High",IF(N62&lt;=Settings!$B$5,"Watch","Normal"))))))</x:f>
      </x:c>
      <x:c r="R62" s="22"/>
      <x:c r="S62" s="24"/>
      <x:c r="T62" s="22"/>
      <x:c r="U62" s="22"/>
    </x:row>
    <x:row r="63" ht="22" customHeight="1">
      <x:c r="A63" s="22"/>
      <x:c r="B63" s="22"/>
      <x:c r="C63" s="22"/>
      <x:c r="D63" s="22"/>
      <x:c r="E63" s="24"/>
      <x:c r="F63" s="24"/>
      <x:c r="G63" s="24"/>
      <x:c r="H63" s="22"/>
      <x:c r="I63" s="22"/>
      <x:c r="J63" s="26"/>
      <x:c r="K63" s="27" t="str">
        <x:f>IF(A63="","",H63*J63)</x:f>
      </x:c>
      <x:c r="L63" t="str">
        <x:f>IF(A63="","",MAX(0,H63-I63))</x:f>
      </x:c>
      <x:c r="M63" s="27" t="str">
        <x:f>IF(A63="","",L63*J63)</x:f>
      </x:c>
      <x:c r="N63" t="str">
        <x:f>IF(A63="","",IF(G63="","",G63-Settings!$B$4))</x:f>
      </x:c>
      <x:c r="O63" t="str">
        <x:f>IF(A63="","",IF(L63=0,0,MAX(0,Settings!$B$4-G63)))</x:f>
      </x:c>
      <x:c r="P63" s="22"/>
      <x:c r="Q63" t="str">
        <x:f>IF(A63="","",IF(L63=0,"Closed",IF(OR(G63="",G63&lt;F63,I63&gt;H63),"Review Data",IF(O63&gt;=Settings!$B$6,"Critical",IF(OR(O63&gt;0,AND(N63&lt;=Settings!$B$5,M63&gt;=Settings!$B$7)),"High",IF(N63&lt;=Settings!$B$5,"Watch","Normal"))))))</x:f>
      </x:c>
      <x:c r="R63" s="22"/>
      <x:c r="S63" s="24"/>
      <x:c r="T63" s="22"/>
      <x:c r="U63" s="22"/>
    </x:row>
    <x:row r="64" ht="22" customHeight="1">
      <x:c r="A64" s="22"/>
      <x:c r="B64" s="22"/>
      <x:c r="C64" s="22"/>
      <x:c r="D64" s="22"/>
      <x:c r="E64" s="24"/>
      <x:c r="F64" s="24"/>
      <x:c r="G64" s="24"/>
      <x:c r="H64" s="22"/>
      <x:c r="I64" s="22"/>
      <x:c r="J64" s="26"/>
      <x:c r="K64" s="27" t="str">
        <x:f>IF(A64="","",H64*J64)</x:f>
      </x:c>
      <x:c r="L64" t="str">
        <x:f>IF(A64="","",MAX(0,H64-I64))</x:f>
      </x:c>
      <x:c r="M64" s="27" t="str">
        <x:f>IF(A64="","",L64*J64)</x:f>
      </x:c>
      <x:c r="N64" t="str">
        <x:f>IF(A64="","",IF(G64="","",G64-Settings!$B$4))</x:f>
      </x:c>
      <x:c r="O64" t="str">
        <x:f>IF(A64="","",IF(L64=0,0,MAX(0,Settings!$B$4-G64)))</x:f>
      </x:c>
      <x:c r="P64" s="22"/>
      <x:c r="Q64" t="str">
        <x:f>IF(A64="","",IF(L64=0,"Closed",IF(OR(G64="",G64&lt;F64,I64&gt;H64),"Review Data",IF(O64&gt;=Settings!$B$6,"Critical",IF(OR(O64&gt;0,AND(N64&lt;=Settings!$B$5,M64&gt;=Settings!$B$7)),"High",IF(N64&lt;=Settings!$B$5,"Watch","Normal"))))))</x:f>
      </x:c>
      <x:c r="R64" s="22"/>
      <x:c r="S64" s="24"/>
      <x:c r="T64" s="22"/>
      <x:c r="U64" s="22"/>
    </x:row>
    <x:row r="65" ht="22" customHeight="1">
      <x:c r="A65" s="22"/>
      <x:c r="B65" s="22"/>
      <x:c r="C65" s="22"/>
      <x:c r="D65" s="22"/>
      <x:c r="E65" s="24"/>
      <x:c r="F65" s="24"/>
      <x:c r="G65" s="24"/>
      <x:c r="H65" s="22"/>
      <x:c r="I65" s="22"/>
      <x:c r="J65" s="26"/>
      <x:c r="K65" s="27" t="str">
        <x:f>IF(A65="","",H65*J65)</x:f>
      </x:c>
      <x:c r="L65" t="str">
        <x:f>IF(A65="","",MAX(0,H65-I65))</x:f>
      </x:c>
      <x:c r="M65" s="27" t="str">
        <x:f>IF(A65="","",L65*J65)</x:f>
      </x:c>
      <x:c r="N65" t="str">
        <x:f>IF(A65="","",IF(G65="","",G65-Settings!$B$4))</x:f>
      </x:c>
      <x:c r="O65" t="str">
        <x:f>IF(A65="","",IF(L65=0,0,MAX(0,Settings!$B$4-G65)))</x:f>
      </x:c>
      <x:c r="P65" s="22"/>
      <x:c r="Q65" t="str">
        <x:f>IF(A65="","",IF(L65=0,"Closed",IF(OR(G65="",G65&lt;F65,I65&gt;H65),"Review Data",IF(O65&gt;=Settings!$B$6,"Critical",IF(OR(O65&gt;0,AND(N65&lt;=Settings!$B$5,M65&gt;=Settings!$B$7)),"High",IF(N65&lt;=Settings!$B$5,"Watch","Normal"))))))</x:f>
      </x:c>
      <x:c r="R65" s="22"/>
      <x:c r="S65" s="24"/>
      <x:c r="T65" s="22"/>
      <x:c r="U65" s="22"/>
    </x:row>
    <x:row r="66" ht="22" customHeight="1">
      <x:c r="A66" s="22"/>
      <x:c r="B66" s="22"/>
      <x:c r="C66" s="22"/>
      <x:c r="D66" s="22"/>
      <x:c r="E66" s="24"/>
      <x:c r="F66" s="24"/>
      <x:c r="G66" s="24"/>
      <x:c r="H66" s="22"/>
      <x:c r="I66" s="22"/>
      <x:c r="J66" s="26"/>
      <x:c r="K66" s="27" t="str">
        <x:f>IF(A66="","",H66*J66)</x:f>
      </x:c>
      <x:c r="L66" t="str">
        <x:f>IF(A66="","",MAX(0,H66-I66))</x:f>
      </x:c>
      <x:c r="M66" s="27" t="str">
        <x:f>IF(A66="","",L66*J66)</x:f>
      </x:c>
      <x:c r="N66" t="str">
        <x:f>IF(A66="","",IF(G66="","",G66-Settings!$B$4))</x:f>
      </x:c>
      <x:c r="O66" t="str">
        <x:f>IF(A66="","",IF(L66=0,0,MAX(0,Settings!$B$4-G66)))</x:f>
      </x:c>
      <x:c r="P66" s="22"/>
      <x:c r="Q66" t="str">
        <x:f>IF(A66="","",IF(L66=0,"Closed",IF(OR(G66="",G66&lt;F66,I66&gt;H66),"Review Data",IF(O66&gt;=Settings!$B$6,"Critical",IF(OR(O66&gt;0,AND(N66&lt;=Settings!$B$5,M66&gt;=Settings!$B$7)),"High",IF(N66&lt;=Settings!$B$5,"Watch","Normal"))))))</x:f>
      </x:c>
      <x:c r="R66" s="22"/>
      <x:c r="S66" s="24"/>
      <x:c r="T66" s="22"/>
      <x:c r="U66" s="22"/>
    </x:row>
    <x:row r="67" ht="22" customHeight="1">
      <x:c r="A67" s="22"/>
      <x:c r="B67" s="22"/>
      <x:c r="C67" s="22"/>
      <x:c r="D67" s="22"/>
      <x:c r="E67" s="24"/>
      <x:c r="F67" s="24"/>
      <x:c r="G67" s="24"/>
      <x:c r="H67" s="22"/>
      <x:c r="I67" s="22"/>
      <x:c r="J67" s="26"/>
      <x:c r="K67" s="27" t="str">
        <x:f>IF(A67="","",H67*J67)</x:f>
      </x:c>
      <x:c r="L67" t="str">
        <x:f>IF(A67="","",MAX(0,H67-I67))</x:f>
      </x:c>
      <x:c r="M67" s="27" t="str">
        <x:f>IF(A67="","",L67*J67)</x:f>
      </x:c>
      <x:c r="N67" t="str">
        <x:f>IF(A67="","",IF(G67="","",G67-Settings!$B$4))</x:f>
      </x:c>
      <x:c r="O67" t="str">
        <x:f>IF(A67="","",IF(L67=0,0,MAX(0,Settings!$B$4-G67)))</x:f>
      </x:c>
      <x:c r="P67" s="22"/>
      <x:c r="Q67" t="str">
        <x:f>IF(A67="","",IF(L67=0,"Closed",IF(OR(G67="",G67&lt;F67,I67&gt;H67),"Review Data",IF(O67&gt;=Settings!$B$6,"Critical",IF(OR(O67&gt;0,AND(N67&lt;=Settings!$B$5,M67&gt;=Settings!$B$7)),"High",IF(N67&lt;=Settings!$B$5,"Watch","Normal"))))))</x:f>
      </x:c>
      <x:c r="R67" s="22"/>
      <x:c r="S67" s="24"/>
      <x:c r="T67" s="22"/>
      <x:c r="U67" s="22"/>
    </x:row>
    <x:row r="68" ht="22" customHeight="1">
      <x:c r="A68" s="22"/>
      <x:c r="B68" s="22"/>
      <x:c r="C68" s="22"/>
      <x:c r="D68" s="22"/>
      <x:c r="E68" s="24"/>
      <x:c r="F68" s="24"/>
      <x:c r="G68" s="24"/>
      <x:c r="H68" s="22"/>
      <x:c r="I68" s="22"/>
      <x:c r="J68" s="26"/>
      <x:c r="K68" s="27" t="str">
        <x:f>IF(A68="","",H68*J68)</x:f>
      </x:c>
      <x:c r="L68" t="str">
        <x:f>IF(A68="","",MAX(0,H68-I68))</x:f>
      </x:c>
      <x:c r="M68" s="27" t="str">
        <x:f>IF(A68="","",L68*J68)</x:f>
      </x:c>
      <x:c r="N68" t="str">
        <x:f>IF(A68="","",IF(G68="","",G68-Settings!$B$4))</x:f>
      </x:c>
      <x:c r="O68" t="str">
        <x:f>IF(A68="","",IF(L68=0,0,MAX(0,Settings!$B$4-G68)))</x:f>
      </x:c>
      <x:c r="P68" s="22"/>
      <x:c r="Q68" t="str">
        <x:f>IF(A68="","",IF(L68=0,"Closed",IF(OR(G68="",G68&lt;F68,I68&gt;H68),"Review Data",IF(O68&gt;=Settings!$B$6,"Critical",IF(OR(O68&gt;0,AND(N68&lt;=Settings!$B$5,M68&gt;=Settings!$B$7)),"High",IF(N68&lt;=Settings!$B$5,"Watch","Normal"))))))</x:f>
      </x:c>
      <x:c r="R68" s="22"/>
      <x:c r="S68" s="24"/>
      <x:c r="T68" s="22"/>
      <x:c r="U68" s="22"/>
    </x:row>
    <x:row r="69" ht="22" customHeight="1">
      <x:c r="A69" s="22"/>
      <x:c r="B69" s="22"/>
      <x:c r="C69" s="22"/>
      <x:c r="D69" s="22"/>
      <x:c r="E69" s="24"/>
      <x:c r="F69" s="24"/>
      <x:c r="G69" s="24"/>
      <x:c r="H69" s="22"/>
      <x:c r="I69" s="22"/>
      <x:c r="J69" s="26"/>
      <x:c r="K69" s="27" t="str">
        <x:f>IF(A69="","",H69*J69)</x:f>
      </x:c>
      <x:c r="L69" t="str">
        <x:f>IF(A69="","",MAX(0,H69-I69))</x:f>
      </x:c>
      <x:c r="M69" s="27" t="str">
        <x:f>IF(A69="","",L69*J69)</x:f>
      </x:c>
      <x:c r="N69" t="str">
        <x:f>IF(A69="","",IF(G69="","",G69-Settings!$B$4))</x:f>
      </x:c>
      <x:c r="O69" t="str">
        <x:f>IF(A69="","",IF(L69=0,0,MAX(0,Settings!$B$4-G69)))</x:f>
      </x:c>
      <x:c r="P69" s="22"/>
      <x:c r="Q69" t="str">
        <x:f>IF(A69="","",IF(L69=0,"Closed",IF(OR(G69="",G69&lt;F69,I69&gt;H69),"Review Data",IF(O69&gt;=Settings!$B$6,"Critical",IF(OR(O69&gt;0,AND(N69&lt;=Settings!$B$5,M69&gt;=Settings!$B$7)),"High",IF(N69&lt;=Settings!$B$5,"Watch","Normal"))))))</x:f>
      </x:c>
      <x:c r="R69" s="22"/>
      <x:c r="S69" s="24"/>
      <x:c r="T69" s="22"/>
      <x:c r="U69" s="22"/>
    </x:row>
    <x:row r="70" ht="22" customHeight="1">
      <x:c r="A70" s="22"/>
      <x:c r="B70" s="22"/>
      <x:c r="C70" s="22"/>
      <x:c r="D70" s="22"/>
      <x:c r="E70" s="24"/>
      <x:c r="F70" s="24"/>
      <x:c r="G70" s="24"/>
      <x:c r="H70" s="22"/>
      <x:c r="I70" s="22"/>
      <x:c r="J70" s="26"/>
      <x:c r="K70" s="27" t="str">
        <x:f>IF(A70="","",H70*J70)</x:f>
      </x:c>
      <x:c r="L70" t="str">
        <x:f>IF(A70="","",MAX(0,H70-I70))</x:f>
      </x:c>
      <x:c r="M70" s="27" t="str">
        <x:f>IF(A70="","",L70*J70)</x:f>
      </x:c>
      <x:c r="N70" t="str">
        <x:f>IF(A70="","",IF(G70="","",G70-Settings!$B$4))</x:f>
      </x:c>
      <x:c r="O70" t="str">
        <x:f>IF(A70="","",IF(L70=0,0,MAX(0,Settings!$B$4-G70)))</x:f>
      </x:c>
      <x:c r="P70" s="22"/>
      <x:c r="Q70" t="str">
        <x:f>IF(A70="","",IF(L70=0,"Closed",IF(OR(G70="",G70&lt;F70,I70&gt;H70),"Review Data",IF(O70&gt;=Settings!$B$6,"Critical",IF(OR(O70&gt;0,AND(N70&lt;=Settings!$B$5,M70&gt;=Settings!$B$7)),"High",IF(N70&lt;=Settings!$B$5,"Watch","Normal"))))))</x:f>
      </x:c>
      <x:c r="R70" s="22"/>
      <x:c r="S70" s="24"/>
      <x:c r="T70" s="22"/>
      <x:c r="U70" s="22"/>
    </x:row>
    <x:row r="71" ht="22" customHeight="1">
      <x:c r="A71" s="22"/>
      <x:c r="B71" s="22"/>
      <x:c r="C71" s="22"/>
      <x:c r="D71" s="22"/>
      <x:c r="E71" s="24"/>
      <x:c r="F71" s="24"/>
      <x:c r="G71" s="24"/>
      <x:c r="H71" s="22"/>
      <x:c r="I71" s="22"/>
      <x:c r="J71" s="26"/>
      <x:c r="K71" s="27" t="str">
        <x:f>IF(A71="","",H71*J71)</x:f>
      </x:c>
      <x:c r="L71" t="str">
        <x:f>IF(A71="","",MAX(0,H71-I71))</x:f>
      </x:c>
      <x:c r="M71" s="27" t="str">
        <x:f>IF(A71="","",L71*J71)</x:f>
      </x:c>
      <x:c r="N71" t="str">
        <x:f>IF(A71="","",IF(G71="","",G71-Settings!$B$4))</x:f>
      </x:c>
      <x:c r="O71" t="str">
        <x:f>IF(A71="","",IF(L71=0,0,MAX(0,Settings!$B$4-G71)))</x:f>
      </x:c>
      <x:c r="P71" s="22"/>
      <x:c r="Q71" t="str">
        <x:f>IF(A71="","",IF(L71=0,"Closed",IF(OR(G71="",G71&lt;F71,I71&gt;H71),"Review Data",IF(O71&gt;=Settings!$B$6,"Critical",IF(OR(O71&gt;0,AND(N71&lt;=Settings!$B$5,M71&gt;=Settings!$B$7)),"High",IF(N71&lt;=Settings!$B$5,"Watch","Normal"))))))</x:f>
      </x:c>
      <x:c r="R71" s="22"/>
      <x:c r="S71" s="24"/>
      <x:c r="T71" s="22"/>
      <x:c r="U71" s="22"/>
    </x:row>
    <x:row r="72" ht="22" customHeight="1">
      <x:c r="A72" s="22"/>
      <x:c r="B72" s="22"/>
      <x:c r="C72" s="22"/>
      <x:c r="D72" s="22"/>
      <x:c r="E72" s="24"/>
      <x:c r="F72" s="24"/>
      <x:c r="G72" s="24"/>
      <x:c r="H72" s="22"/>
      <x:c r="I72" s="22"/>
      <x:c r="J72" s="26"/>
      <x:c r="K72" s="27" t="str">
        <x:f>IF(A72="","",H72*J72)</x:f>
      </x:c>
      <x:c r="L72" t="str">
        <x:f>IF(A72="","",MAX(0,H72-I72))</x:f>
      </x:c>
      <x:c r="M72" s="27" t="str">
        <x:f>IF(A72="","",L72*J72)</x:f>
      </x:c>
      <x:c r="N72" t="str">
        <x:f>IF(A72="","",IF(G72="","",G72-Settings!$B$4))</x:f>
      </x:c>
      <x:c r="O72" t="str">
        <x:f>IF(A72="","",IF(L72=0,0,MAX(0,Settings!$B$4-G72)))</x:f>
      </x:c>
      <x:c r="P72" s="22"/>
      <x:c r="Q72" t="str">
        <x:f>IF(A72="","",IF(L72=0,"Closed",IF(OR(G72="",G72&lt;F72,I72&gt;H72),"Review Data",IF(O72&gt;=Settings!$B$6,"Critical",IF(OR(O72&gt;0,AND(N72&lt;=Settings!$B$5,M72&gt;=Settings!$B$7)),"High",IF(N72&lt;=Settings!$B$5,"Watch","Normal"))))))</x:f>
      </x:c>
      <x:c r="R72" s="22"/>
      <x:c r="S72" s="24"/>
      <x:c r="T72" s="22"/>
      <x:c r="U72" s="22"/>
    </x:row>
    <x:row r="73" ht="22" customHeight="1">
      <x:c r="A73" s="22"/>
      <x:c r="B73" s="22"/>
      <x:c r="C73" s="22"/>
      <x:c r="D73" s="22"/>
      <x:c r="E73" s="24"/>
      <x:c r="F73" s="24"/>
      <x:c r="G73" s="24"/>
      <x:c r="H73" s="22"/>
      <x:c r="I73" s="22"/>
      <x:c r="J73" s="26"/>
      <x:c r="K73" s="27" t="str">
        <x:f>IF(A73="","",H73*J73)</x:f>
      </x:c>
      <x:c r="L73" t="str">
        <x:f>IF(A73="","",MAX(0,H73-I73))</x:f>
      </x:c>
      <x:c r="M73" s="27" t="str">
        <x:f>IF(A73="","",L73*J73)</x:f>
      </x:c>
      <x:c r="N73" t="str">
        <x:f>IF(A73="","",IF(G73="","",G73-Settings!$B$4))</x:f>
      </x:c>
      <x:c r="O73" t="str">
        <x:f>IF(A73="","",IF(L73=0,0,MAX(0,Settings!$B$4-G73)))</x:f>
      </x:c>
      <x:c r="P73" s="22"/>
      <x:c r="Q73" t="str">
        <x:f>IF(A73="","",IF(L73=0,"Closed",IF(OR(G73="",G73&lt;F73,I73&gt;H73),"Review Data",IF(O73&gt;=Settings!$B$6,"Critical",IF(OR(O73&gt;0,AND(N73&lt;=Settings!$B$5,M73&gt;=Settings!$B$7)),"High",IF(N73&lt;=Settings!$B$5,"Watch","Normal"))))))</x:f>
      </x:c>
      <x:c r="R73" s="22"/>
      <x:c r="S73" s="24"/>
      <x:c r="T73" s="22"/>
      <x:c r="U73" s="22"/>
    </x:row>
    <x:row r="74" ht="22" customHeight="1">
      <x:c r="A74" s="22"/>
      <x:c r="B74" s="22"/>
      <x:c r="C74" s="22"/>
      <x:c r="D74" s="22"/>
      <x:c r="E74" s="24"/>
      <x:c r="F74" s="24"/>
      <x:c r="G74" s="24"/>
      <x:c r="H74" s="22"/>
      <x:c r="I74" s="22"/>
      <x:c r="J74" s="26"/>
      <x:c r="K74" s="27" t="str">
        <x:f>IF(A74="","",H74*J74)</x:f>
      </x:c>
      <x:c r="L74" t="str">
        <x:f>IF(A74="","",MAX(0,H74-I74))</x:f>
      </x:c>
      <x:c r="M74" s="27" t="str">
        <x:f>IF(A74="","",L74*J74)</x:f>
      </x:c>
      <x:c r="N74" t="str">
        <x:f>IF(A74="","",IF(G74="","",G74-Settings!$B$4))</x:f>
      </x:c>
      <x:c r="O74" t="str">
        <x:f>IF(A74="","",IF(L74=0,0,MAX(0,Settings!$B$4-G74)))</x:f>
      </x:c>
      <x:c r="P74" s="22"/>
      <x:c r="Q74" t="str">
        <x:f>IF(A74="","",IF(L74=0,"Closed",IF(OR(G74="",G74&lt;F74,I74&gt;H74),"Review Data",IF(O74&gt;=Settings!$B$6,"Critical",IF(OR(O74&gt;0,AND(N74&lt;=Settings!$B$5,M74&gt;=Settings!$B$7)),"High",IF(N74&lt;=Settings!$B$5,"Watch","Normal"))))))</x:f>
      </x:c>
      <x:c r="R74" s="22"/>
      <x:c r="S74" s="24"/>
      <x:c r="T74" s="22"/>
      <x:c r="U74" s="22"/>
    </x:row>
    <x:row r="75" ht="22" customHeight="1">
      <x:c r="A75" s="22"/>
      <x:c r="B75" s="22"/>
      <x:c r="C75" s="22"/>
      <x:c r="D75" s="22"/>
      <x:c r="E75" s="24"/>
      <x:c r="F75" s="24"/>
      <x:c r="G75" s="24"/>
      <x:c r="H75" s="22"/>
      <x:c r="I75" s="22"/>
      <x:c r="J75" s="26"/>
      <x:c r="K75" s="27" t="str">
        <x:f>IF(A75="","",H75*J75)</x:f>
      </x:c>
      <x:c r="L75" t="str">
        <x:f>IF(A75="","",MAX(0,H75-I75))</x:f>
      </x:c>
      <x:c r="M75" s="27" t="str">
        <x:f>IF(A75="","",L75*J75)</x:f>
      </x:c>
      <x:c r="N75" t="str">
        <x:f>IF(A75="","",IF(G75="","",G75-Settings!$B$4))</x:f>
      </x:c>
      <x:c r="O75" t="str">
        <x:f>IF(A75="","",IF(L75=0,0,MAX(0,Settings!$B$4-G75)))</x:f>
      </x:c>
      <x:c r="P75" s="22"/>
      <x:c r="Q75" t="str">
        <x:f>IF(A75="","",IF(L75=0,"Closed",IF(OR(G75="",G75&lt;F75,I75&gt;H75),"Review Data",IF(O75&gt;=Settings!$B$6,"Critical",IF(OR(O75&gt;0,AND(N75&lt;=Settings!$B$5,M75&gt;=Settings!$B$7)),"High",IF(N75&lt;=Settings!$B$5,"Watch","Normal"))))))</x:f>
      </x:c>
      <x:c r="R75" s="22"/>
      <x:c r="S75" s="24"/>
      <x:c r="T75" s="22"/>
      <x:c r="U75" s="22"/>
    </x:row>
    <x:row r="76" ht="22" customHeight="1">
      <x:c r="A76" s="22"/>
      <x:c r="B76" s="22"/>
      <x:c r="C76" s="22"/>
      <x:c r="D76" s="22"/>
      <x:c r="E76" s="24"/>
      <x:c r="F76" s="24"/>
      <x:c r="G76" s="24"/>
      <x:c r="H76" s="22"/>
      <x:c r="I76" s="22"/>
      <x:c r="J76" s="26"/>
      <x:c r="K76" s="27" t="str">
        <x:f>IF(A76="","",H76*J76)</x:f>
      </x:c>
      <x:c r="L76" t="str">
        <x:f>IF(A76="","",MAX(0,H76-I76))</x:f>
      </x:c>
      <x:c r="M76" s="27" t="str">
        <x:f>IF(A76="","",L76*J76)</x:f>
      </x:c>
      <x:c r="N76" t="str">
        <x:f>IF(A76="","",IF(G76="","",G76-Settings!$B$4))</x:f>
      </x:c>
      <x:c r="O76" t="str">
        <x:f>IF(A76="","",IF(L76=0,0,MAX(0,Settings!$B$4-G76)))</x:f>
      </x:c>
      <x:c r="P76" s="22"/>
      <x:c r="Q76" t="str">
        <x:f>IF(A76="","",IF(L76=0,"Closed",IF(OR(G76="",G76&lt;F76,I76&gt;H76),"Review Data",IF(O76&gt;=Settings!$B$6,"Critical",IF(OR(O76&gt;0,AND(N76&lt;=Settings!$B$5,M76&gt;=Settings!$B$7)),"High",IF(N76&lt;=Settings!$B$5,"Watch","Normal"))))))</x:f>
      </x:c>
      <x:c r="R76" s="22"/>
      <x:c r="S76" s="24"/>
      <x:c r="T76" s="22"/>
      <x:c r="U76" s="22"/>
    </x:row>
    <x:row r="77" ht="22" customHeight="1">
      <x:c r="A77" s="22"/>
      <x:c r="B77" s="22"/>
      <x:c r="C77" s="22"/>
      <x:c r="D77" s="22"/>
      <x:c r="E77" s="24"/>
      <x:c r="F77" s="24"/>
      <x:c r="G77" s="24"/>
      <x:c r="H77" s="22"/>
      <x:c r="I77" s="22"/>
      <x:c r="J77" s="26"/>
      <x:c r="K77" s="27" t="str">
        <x:f>IF(A77="","",H77*J77)</x:f>
      </x:c>
      <x:c r="L77" t="str">
        <x:f>IF(A77="","",MAX(0,H77-I77))</x:f>
      </x:c>
      <x:c r="M77" s="27" t="str">
        <x:f>IF(A77="","",L77*J77)</x:f>
      </x:c>
      <x:c r="N77" t="str">
        <x:f>IF(A77="","",IF(G77="","",G77-Settings!$B$4))</x:f>
      </x:c>
      <x:c r="O77" t="str">
        <x:f>IF(A77="","",IF(L77=0,0,MAX(0,Settings!$B$4-G77)))</x:f>
      </x:c>
      <x:c r="P77" s="22"/>
      <x:c r="Q77" t="str">
        <x:f>IF(A77="","",IF(L77=0,"Closed",IF(OR(G77="",G77&lt;F77,I77&gt;H77),"Review Data",IF(O77&gt;=Settings!$B$6,"Critical",IF(OR(O77&gt;0,AND(N77&lt;=Settings!$B$5,M77&gt;=Settings!$B$7)),"High",IF(N77&lt;=Settings!$B$5,"Watch","Normal"))))))</x:f>
      </x:c>
      <x:c r="R77" s="22"/>
      <x:c r="S77" s="24"/>
      <x:c r="T77" s="22"/>
      <x:c r="U77" s="22"/>
    </x:row>
    <x:row r="78" ht="22" customHeight="1">
      <x:c r="A78" s="22"/>
      <x:c r="B78" s="22"/>
      <x:c r="C78" s="22"/>
      <x:c r="D78" s="22"/>
      <x:c r="E78" s="24"/>
      <x:c r="F78" s="24"/>
      <x:c r="G78" s="24"/>
      <x:c r="H78" s="22"/>
      <x:c r="I78" s="22"/>
      <x:c r="J78" s="26"/>
      <x:c r="K78" s="27" t="str">
        <x:f>IF(A78="","",H78*J78)</x:f>
      </x:c>
      <x:c r="L78" t="str">
        <x:f>IF(A78="","",MAX(0,H78-I78))</x:f>
      </x:c>
      <x:c r="M78" s="27" t="str">
        <x:f>IF(A78="","",L78*J78)</x:f>
      </x:c>
      <x:c r="N78" t="str">
        <x:f>IF(A78="","",IF(G78="","",G78-Settings!$B$4))</x:f>
      </x:c>
      <x:c r="O78" t="str">
        <x:f>IF(A78="","",IF(L78=0,0,MAX(0,Settings!$B$4-G78)))</x:f>
      </x:c>
      <x:c r="P78" s="22"/>
      <x:c r="Q78" t="str">
        <x:f>IF(A78="","",IF(L78=0,"Closed",IF(OR(G78="",G78&lt;F78,I78&gt;H78),"Review Data",IF(O78&gt;=Settings!$B$6,"Critical",IF(OR(O78&gt;0,AND(N78&lt;=Settings!$B$5,M78&gt;=Settings!$B$7)),"High",IF(N78&lt;=Settings!$B$5,"Watch","Normal"))))))</x:f>
      </x:c>
      <x:c r="R78" s="22"/>
      <x:c r="S78" s="24"/>
      <x:c r="T78" s="22"/>
      <x:c r="U78" s="22"/>
    </x:row>
    <x:row r="79" ht="22" customHeight="1">
      <x:c r="A79" s="22"/>
      <x:c r="B79" s="22"/>
      <x:c r="C79" s="22"/>
      <x:c r="D79" s="22"/>
      <x:c r="E79" s="24"/>
      <x:c r="F79" s="24"/>
      <x:c r="G79" s="24"/>
      <x:c r="H79" s="22"/>
      <x:c r="I79" s="22"/>
      <x:c r="J79" s="26"/>
      <x:c r="K79" s="27" t="str">
        <x:f>IF(A79="","",H79*J79)</x:f>
      </x:c>
      <x:c r="L79" t="str">
        <x:f>IF(A79="","",MAX(0,H79-I79))</x:f>
      </x:c>
      <x:c r="M79" s="27" t="str">
        <x:f>IF(A79="","",L79*J79)</x:f>
      </x:c>
      <x:c r="N79" t="str">
        <x:f>IF(A79="","",IF(G79="","",G79-Settings!$B$4))</x:f>
      </x:c>
      <x:c r="O79" t="str">
        <x:f>IF(A79="","",IF(L79=0,0,MAX(0,Settings!$B$4-G79)))</x:f>
      </x:c>
      <x:c r="P79" s="22"/>
      <x:c r="Q79" t="str">
        <x:f>IF(A79="","",IF(L79=0,"Closed",IF(OR(G79="",G79&lt;F79,I79&gt;H79),"Review Data",IF(O79&gt;=Settings!$B$6,"Critical",IF(OR(O79&gt;0,AND(N79&lt;=Settings!$B$5,M79&gt;=Settings!$B$7)),"High",IF(N79&lt;=Settings!$B$5,"Watch","Normal"))))))</x:f>
      </x:c>
      <x:c r="R79" s="22"/>
      <x:c r="S79" s="24"/>
      <x:c r="T79" s="22"/>
      <x:c r="U79" s="22"/>
    </x:row>
    <x:row r="80" ht="22" customHeight="1">
      <x:c r="A80" s="22"/>
      <x:c r="B80" s="22"/>
      <x:c r="C80" s="22"/>
      <x:c r="D80" s="22"/>
      <x:c r="E80" s="24"/>
      <x:c r="F80" s="24"/>
      <x:c r="G80" s="24"/>
      <x:c r="H80" s="22"/>
      <x:c r="I80" s="22"/>
      <x:c r="J80" s="26"/>
      <x:c r="K80" s="27" t="str">
        <x:f>IF(A80="","",H80*J80)</x:f>
      </x:c>
      <x:c r="L80" t="str">
        <x:f>IF(A80="","",MAX(0,H80-I80))</x:f>
      </x:c>
      <x:c r="M80" s="27" t="str">
        <x:f>IF(A80="","",L80*J80)</x:f>
      </x:c>
      <x:c r="N80" t="str">
        <x:f>IF(A80="","",IF(G80="","",G80-Settings!$B$4))</x:f>
      </x:c>
      <x:c r="O80" t="str">
        <x:f>IF(A80="","",IF(L80=0,0,MAX(0,Settings!$B$4-G80)))</x:f>
      </x:c>
      <x:c r="P80" s="22"/>
      <x:c r="Q80" t="str">
        <x:f>IF(A80="","",IF(L80=0,"Closed",IF(OR(G80="",G80&lt;F80,I80&gt;H80),"Review Data",IF(O80&gt;=Settings!$B$6,"Critical",IF(OR(O80&gt;0,AND(N80&lt;=Settings!$B$5,M80&gt;=Settings!$B$7)),"High",IF(N80&lt;=Settings!$B$5,"Watch","Normal"))))))</x:f>
      </x:c>
      <x:c r="R80" s="22"/>
      <x:c r="S80" s="24"/>
      <x:c r="T80" s="22"/>
      <x:c r="U80" s="22"/>
    </x:row>
    <x:row r="81" ht="22" customHeight="1">
      <x:c r="A81" s="22"/>
      <x:c r="B81" s="22"/>
      <x:c r="C81" s="22"/>
      <x:c r="D81" s="22"/>
      <x:c r="E81" s="24"/>
      <x:c r="F81" s="24"/>
      <x:c r="G81" s="24"/>
      <x:c r="H81" s="22"/>
      <x:c r="I81" s="22"/>
      <x:c r="J81" s="26"/>
      <x:c r="K81" s="27" t="str">
        <x:f>IF(A81="","",H81*J81)</x:f>
      </x:c>
      <x:c r="L81" t="str">
        <x:f>IF(A81="","",MAX(0,H81-I81))</x:f>
      </x:c>
      <x:c r="M81" s="27" t="str">
        <x:f>IF(A81="","",L81*J81)</x:f>
      </x:c>
      <x:c r="N81" t="str">
        <x:f>IF(A81="","",IF(G81="","",G81-Settings!$B$4))</x:f>
      </x:c>
      <x:c r="O81" t="str">
        <x:f>IF(A81="","",IF(L81=0,0,MAX(0,Settings!$B$4-G81)))</x:f>
      </x:c>
      <x:c r="P81" s="22"/>
      <x:c r="Q81" t="str">
        <x:f>IF(A81="","",IF(L81=0,"Closed",IF(OR(G81="",G81&lt;F81,I81&gt;H81),"Review Data",IF(O81&gt;=Settings!$B$6,"Critical",IF(OR(O81&gt;0,AND(N81&lt;=Settings!$B$5,M81&gt;=Settings!$B$7)),"High",IF(N81&lt;=Settings!$B$5,"Watch","Normal"))))))</x:f>
      </x:c>
      <x:c r="R81" s="22"/>
      <x:c r="S81" s="24"/>
      <x:c r="T81" s="22"/>
      <x:c r="U81" s="22"/>
    </x:row>
    <x:row r="82" ht="22" customHeight="1">
      <x:c r="A82" s="22"/>
      <x:c r="B82" s="22"/>
      <x:c r="C82" s="22"/>
      <x:c r="D82" s="22"/>
      <x:c r="E82" s="24"/>
      <x:c r="F82" s="24"/>
      <x:c r="G82" s="24"/>
      <x:c r="H82" s="22"/>
      <x:c r="I82" s="22"/>
      <x:c r="J82" s="26"/>
      <x:c r="K82" s="27" t="str">
        <x:f>IF(A82="","",H82*J82)</x:f>
      </x:c>
      <x:c r="L82" t="str">
        <x:f>IF(A82="","",MAX(0,H82-I82))</x:f>
      </x:c>
      <x:c r="M82" s="27" t="str">
        <x:f>IF(A82="","",L82*J82)</x:f>
      </x:c>
      <x:c r="N82" t="str">
        <x:f>IF(A82="","",IF(G82="","",G82-Settings!$B$4))</x:f>
      </x:c>
      <x:c r="O82" t="str">
        <x:f>IF(A82="","",IF(L82=0,0,MAX(0,Settings!$B$4-G82)))</x:f>
      </x:c>
      <x:c r="P82" s="22"/>
      <x:c r="Q82" t="str">
        <x:f>IF(A82="","",IF(L82=0,"Closed",IF(OR(G82="",G82&lt;F82,I82&gt;H82),"Review Data",IF(O82&gt;=Settings!$B$6,"Critical",IF(OR(O82&gt;0,AND(N82&lt;=Settings!$B$5,M82&gt;=Settings!$B$7)),"High",IF(N82&lt;=Settings!$B$5,"Watch","Normal"))))))</x:f>
      </x:c>
      <x:c r="R82" s="22"/>
      <x:c r="S82" s="24"/>
      <x:c r="T82" s="22"/>
      <x:c r="U82" s="22"/>
    </x:row>
    <x:row r="83" ht="22" customHeight="1">
      <x:c r="A83" s="22"/>
      <x:c r="B83" s="22"/>
      <x:c r="C83" s="22"/>
      <x:c r="D83" s="22"/>
      <x:c r="E83" s="24"/>
      <x:c r="F83" s="24"/>
      <x:c r="G83" s="24"/>
      <x:c r="H83" s="22"/>
      <x:c r="I83" s="22"/>
      <x:c r="J83" s="26"/>
      <x:c r="K83" s="27" t="str">
        <x:f>IF(A83="","",H83*J83)</x:f>
      </x:c>
      <x:c r="L83" t="str">
        <x:f>IF(A83="","",MAX(0,H83-I83))</x:f>
      </x:c>
      <x:c r="M83" s="27" t="str">
        <x:f>IF(A83="","",L83*J83)</x:f>
      </x:c>
      <x:c r="N83" t="str">
        <x:f>IF(A83="","",IF(G83="","",G83-Settings!$B$4))</x:f>
      </x:c>
      <x:c r="O83" t="str">
        <x:f>IF(A83="","",IF(L83=0,0,MAX(0,Settings!$B$4-G83)))</x:f>
      </x:c>
      <x:c r="P83" s="22"/>
      <x:c r="Q83" t="str">
        <x:f>IF(A83="","",IF(L83=0,"Closed",IF(OR(G83="",G83&lt;F83,I83&gt;H83),"Review Data",IF(O83&gt;=Settings!$B$6,"Critical",IF(OR(O83&gt;0,AND(N83&lt;=Settings!$B$5,M83&gt;=Settings!$B$7)),"High",IF(N83&lt;=Settings!$B$5,"Watch","Normal"))))))</x:f>
      </x:c>
      <x:c r="R83" s="22"/>
      <x:c r="S83" s="24"/>
      <x:c r="T83" s="22"/>
      <x:c r="U83" s="22"/>
    </x:row>
    <x:row r="84" ht="22" customHeight="1">
      <x:c r="A84" s="22"/>
      <x:c r="B84" s="22"/>
      <x:c r="C84" s="22"/>
      <x:c r="D84" s="22"/>
      <x:c r="E84" s="24"/>
      <x:c r="F84" s="24"/>
      <x:c r="G84" s="24"/>
      <x:c r="H84" s="22"/>
      <x:c r="I84" s="22"/>
      <x:c r="J84" s="26"/>
      <x:c r="K84" s="27" t="str">
        <x:f>IF(A84="","",H84*J84)</x:f>
      </x:c>
      <x:c r="L84" t="str">
        <x:f>IF(A84="","",MAX(0,H84-I84))</x:f>
      </x:c>
      <x:c r="M84" s="27" t="str">
        <x:f>IF(A84="","",L84*J84)</x:f>
      </x:c>
      <x:c r="N84" t="str">
        <x:f>IF(A84="","",IF(G84="","",G84-Settings!$B$4))</x:f>
      </x:c>
      <x:c r="O84" t="str">
        <x:f>IF(A84="","",IF(L84=0,0,MAX(0,Settings!$B$4-G84)))</x:f>
      </x:c>
      <x:c r="P84" s="22"/>
      <x:c r="Q84" t="str">
        <x:f>IF(A84="","",IF(L84=0,"Closed",IF(OR(G84="",G84&lt;F84,I84&gt;H84),"Review Data",IF(O84&gt;=Settings!$B$6,"Critical",IF(OR(O84&gt;0,AND(N84&lt;=Settings!$B$5,M84&gt;=Settings!$B$7)),"High",IF(N84&lt;=Settings!$B$5,"Watch","Normal"))))))</x:f>
      </x:c>
      <x:c r="R84" s="22"/>
      <x:c r="S84" s="24"/>
      <x:c r="T84" s="22"/>
      <x:c r="U84" s="22"/>
    </x:row>
    <x:row r="85" ht="22" customHeight="1">
      <x:c r="A85" s="22"/>
      <x:c r="B85" s="22"/>
      <x:c r="C85" s="22"/>
      <x:c r="D85" s="22"/>
      <x:c r="E85" s="24"/>
      <x:c r="F85" s="24"/>
      <x:c r="G85" s="24"/>
      <x:c r="H85" s="22"/>
      <x:c r="I85" s="22"/>
      <x:c r="J85" s="26"/>
      <x:c r="K85" s="27" t="str">
        <x:f>IF(A85="","",H85*J85)</x:f>
      </x:c>
      <x:c r="L85" t="str">
        <x:f>IF(A85="","",MAX(0,H85-I85))</x:f>
      </x:c>
      <x:c r="M85" s="27" t="str">
        <x:f>IF(A85="","",L85*J85)</x:f>
      </x:c>
      <x:c r="N85" t="str">
        <x:f>IF(A85="","",IF(G85="","",G85-Settings!$B$4))</x:f>
      </x:c>
      <x:c r="O85" t="str">
        <x:f>IF(A85="","",IF(L85=0,0,MAX(0,Settings!$B$4-G85)))</x:f>
      </x:c>
      <x:c r="P85" s="22"/>
      <x:c r="Q85" t="str">
        <x:f>IF(A85="","",IF(L85=0,"Closed",IF(OR(G85="",G85&lt;F85,I85&gt;H85),"Review Data",IF(O85&gt;=Settings!$B$6,"Critical",IF(OR(O85&gt;0,AND(N85&lt;=Settings!$B$5,M85&gt;=Settings!$B$7)),"High",IF(N85&lt;=Settings!$B$5,"Watch","Normal"))))))</x:f>
      </x:c>
      <x:c r="R85" s="22"/>
      <x:c r="S85" s="24"/>
      <x:c r="T85" s="22"/>
      <x:c r="U85" s="22"/>
    </x:row>
    <x:row r="86" ht="22" customHeight="1">
      <x:c r="A86" s="22"/>
      <x:c r="B86" s="22"/>
      <x:c r="C86" s="22"/>
      <x:c r="D86" s="22"/>
      <x:c r="E86" s="24"/>
      <x:c r="F86" s="24"/>
      <x:c r="G86" s="24"/>
      <x:c r="H86" s="22"/>
      <x:c r="I86" s="22"/>
      <x:c r="J86" s="26"/>
      <x:c r="K86" s="27" t="str">
        <x:f>IF(A86="","",H86*J86)</x:f>
      </x:c>
      <x:c r="L86" t="str">
        <x:f>IF(A86="","",MAX(0,H86-I86))</x:f>
      </x:c>
      <x:c r="M86" s="27" t="str">
        <x:f>IF(A86="","",L86*J86)</x:f>
      </x:c>
      <x:c r="N86" t="str">
        <x:f>IF(A86="","",IF(G86="","",G86-Settings!$B$4))</x:f>
      </x:c>
      <x:c r="O86" t="str">
        <x:f>IF(A86="","",IF(L86=0,0,MAX(0,Settings!$B$4-G86)))</x:f>
      </x:c>
      <x:c r="P86" s="22"/>
      <x:c r="Q86" t="str">
        <x:f>IF(A86="","",IF(L86=0,"Closed",IF(OR(G86="",G86&lt;F86,I86&gt;H86),"Review Data",IF(O86&gt;=Settings!$B$6,"Critical",IF(OR(O86&gt;0,AND(N86&lt;=Settings!$B$5,M86&gt;=Settings!$B$7)),"High",IF(N86&lt;=Settings!$B$5,"Watch","Normal"))))))</x:f>
      </x:c>
      <x:c r="R86" s="22"/>
      <x:c r="S86" s="24"/>
      <x:c r="T86" s="22"/>
      <x:c r="U86" s="22"/>
    </x:row>
    <x:row r="87" ht="22" customHeight="1">
      <x:c r="A87" s="22"/>
      <x:c r="B87" s="22"/>
      <x:c r="C87" s="22"/>
      <x:c r="D87" s="22"/>
      <x:c r="E87" s="24"/>
      <x:c r="F87" s="24"/>
      <x:c r="G87" s="24"/>
      <x:c r="H87" s="22"/>
      <x:c r="I87" s="22"/>
      <x:c r="J87" s="26"/>
      <x:c r="K87" s="27" t="str">
        <x:f>IF(A87="","",H87*J87)</x:f>
      </x:c>
      <x:c r="L87" t="str">
        <x:f>IF(A87="","",MAX(0,H87-I87))</x:f>
      </x:c>
      <x:c r="M87" s="27" t="str">
        <x:f>IF(A87="","",L87*J87)</x:f>
      </x:c>
      <x:c r="N87" t="str">
        <x:f>IF(A87="","",IF(G87="","",G87-Settings!$B$4))</x:f>
      </x:c>
      <x:c r="O87" t="str">
        <x:f>IF(A87="","",IF(L87=0,0,MAX(0,Settings!$B$4-G87)))</x:f>
      </x:c>
      <x:c r="P87" s="22"/>
      <x:c r="Q87" t="str">
        <x:f>IF(A87="","",IF(L87=0,"Closed",IF(OR(G87="",G87&lt;F87,I87&gt;H87),"Review Data",IF(O87&gt;=Settings!$B$6,"Critical",IF(OR(O87&gt;0,AND(N87&lt;=Settings!$B$5,M87&gt;=Settings!$B$7)),"High",IF(N87&lt;=Settings!$B$5,"Watch","Normal"))))))</x:f>
      </x:c>
      <x:c r="R87" s="22"/>
      <x:c r="S87" s="24"/>
      <x:c r="T87" s="22"/>
      <x:c r="U87" s="22"/>
    </x:row>
    <x:row r="88" ht="22" customHeight="1">
      <x:c r="A88" s="22"/>
      <x:c r="B88" s="22"/>
      <x:c r="C88" s="22"/>
      <x:c r="D88" s="22"/>
      <x:c r="E88" s="24"/>
      <x:c r="F88" s="24"/>
      <x:c r="G88" s="24"/>
      <x:c r="H88" s="22"/>
      <x:c r="I88" s="22"/>
      <x:c r="J88" s="26"/>
      <x:c r="K88" s="27" t="str">
        <x:f>IF(A88="","",H88*J88)</x:f>
      </x:c>
      <x:c r="L88" t="str">
        <x:f>IF(A88="","",MAX(0,H88-I88))</x:f>
      </x:c>
      <x:c r="M88" s="27" t="str">
        <x:f>IF(A88="","",L88*J88)</x:f>
      </x:c>
      <x:c r="N88" t="str">
        <x:f>IF(A88="","",IF(G88="","",G88-Settings!$B$4))</x:f>
      </x:c>
      <x:c r="O88" t="str">
        <x:f>IF(A88="","",IF(L88=0,0,MAX(0,Settings!$B$4-G88)))</x:f>
      </x:c>
      <x:c r="P88" s="22"/>
      <x:c r="Q88" t="str">
        <x:f>IF(A88="","",IF(L88=0,"Closed",IF(OR(G88="",G88&lt;F88,I88&gt;H88),"Review Data",IF(O88&gt;=Settings!$B$6,"Critical",IF(OR(O88&gt;0,AND(N88&lt;=Settings!$B$5,M88&gt;=Settings!$B$7)),"High",IF(N88&lt;=Settings!$B$5,"Watch","Normal"))))))</x:f>
      </x:c>
      <x:c r="R88" s="22"/>
      <x:c r="S88" s="24"/>
      <x:c r="T88" s="22"/>
      <x:c r="U88" s="22"/>
    </x:row>
    <x:row r="89" ht="22" customHeight="1">
      <x:c r="A89" s="22"/>
      <x:c r="B89" s="22"/>
      <x:c r="C89" s="22"/>
      <x:c r="D89" s="22"/>
      <x:c r="E89" s="24"/>
      <x:c r="F89" s="24"/>
      <x:c r="G89" s="24"/>
      <x:c r="H89" s="22"/>
      <x:c r="I89" s="22"/>
      <x:c r="J89" s="26"/>
      <x:c r="K89" s="27" t="str">
        <x:f>IF(A89="","",H89*J89)</x:f>
      </x:c>
      <x:c r="L89" t="str">
        <x:f>IF(A89="","",MAX(0,H89-I89))</x:f>
      </x:c>
      <x:c r="M89" s="27" t="str">
        <x:f>IF(A89="","",L89*J89)</x:f>
      </x:c>
      <x:c r="N89" t="str">
        <x:f>IF(A89="","",IF(G89="","",G89-Settings!$B$4))</x:f>
      </x:c>
      <x:c r="O89" t="str">
        <x:f>IF(A89="","",IF(L89=0,0,MAX(0,Settings!$B$4-G89)))</x:f>
      </x:c>
      <x:c r="P89" s="22"/>
      <x:c r="Q89" t="str">
        <x:f>IF(A89="","",IF(L89=0,"Closed",IF(OR(G89="",G89&lt;F89,I89&gt;H89),"Review Data",IF(O89&gt;=Settings!$B$6,"Critical",IF(OR(O89&gt;0,AND(N89&lt;=Settings!$B$5,M89&gt;=Settings!$B$7)),"High",IF(N89&lt;=Settings!$B$5,"Watch","Normal"))))))</x:f>
      </x:c>
      <x:c r="R89" s="22"/>
      <x:c r="S89" s="24"/>
      <x:c r="T89" s="22"/>
      <x:c r="U89" s="22"/>
    </x:row>
    <x:row r="90" ht="22" customHeight="1">
      <x:c r="A90" s="22"/>
      <x:c r="B90" s="22"/>
      <x:c r="C90" s="22"/>
      <x:c r="D90" s="22"/>
      <x:c r="E90" s="24"/>
      <x:c r="F90" s="24"/>
      <x:c r="G90" s="24"/>
      <x:c r="H90" s="22"/>
      <x:c r="I90" s="22"/>
      <x:c r="J90" s="26"/>
      <x:c r="K90" s="27" t="str">
        <x:f>IF(A90="","",H90*J90)</x:f>
      </x:c>
      <x:c r="L90" t="str">
        <x:f>IF(A90="","",MAX(0,H90-I90))</x:f>
      </x:c>
      <x:c r="M90" s="27" t="str">
        <x:f>IF(A90="","",L90*J90)</x:f>
      </x:c>
      <x:c r="N90" t="str">
        <x:f>IF(A90="","",IF(G90="","",G90-Settings!$B$4))</x:f>
      </x:c>
      <x:c r="O90" t="str">
        <x:f>IF(A90="","",IF(L90=0,0,MAX(0,Settings!$B$4-G90)))</x:f>
      </x:c>
      <x:c r="P90" s="22"/>
      <x:c r="Q90" t="str">
        <x:f>IF(A90="","",IF(L90=0,"Closed",IF(OR(G90="",G90&lt;F90,I90&gt;H90),"Review Data",IF(O90&gt;=Settings!$B$6,"Critical",IF(OR(O90&gt;0,AND(N90&lt;=Settings!$B$5,M90&gt;=Settings!$B$7)),"High",IF(N90&lt;=Settings!$B$5,"Watch","Normal"))))))</x:f>
      </x:c>
      <x:c r="R90" s="22"/>
      <x:c r="S90" s="24"/>
      <x:c r="T90" s="22"/>
      <x:c r="U90" s="22"/>
    </x:row>
    <x:row r="91" ht="22" customHeight="1">
      <x:c r="A91" s="22"/>
      <x:c r="B91" s="22"/>
      <x:c r="C91" s="22"/>
      <x:c r="D91" s="22"/>
      <x:c r="E91" s="24"/>
      <x:c r="F91" s="24"/>
      <x:c r="G91" s="24"/>
      <x:c r="H91" s="22"/>
      <x:c r="I91" s="22"/>
      <x:c r="J91" s="26"/>
      <x:c r="K91" s="27" t="str">
        <x:f>IF(A91="","",H91*J91)</x:f>
      </x:c>
      <x:c r="L91" t="str">
        <x:f>IF(A91="","",MAX(0,H91-I91))</x:f>
      </x:c>
      <x:c r="M91" s="27" t="str">
        <x:f>IF(A91="","",L91*J91)</x:f>
      </x:c>
      <x:c r="N91" t="str">
        <x:f>IF(A91="","",IF(G91="","",G91-Settings!$B$4))</x:f>
      </x:c>
      <x:c r="O91" t="str">
        <x:f>IF(A91="","",IF(L91=0,0,MAX(0,Settings!$B$4-G91)))</x:f>
      </x:c>
      <x:c r="P91" s="22"/>
      <x:c r="Q91" t="str">
        <x:f>IF(A91="","",IF(L91=0,"Closed",IF(OR(G91="",G91&lt;F91,I91&gt;H91),"Review Data",IF(O91&gt;=Settings!$B$6,"Critical",IF(OR(O91&gt;0,AND(N91&lt;=Settings!$B$5,M91&gt;=Settings!$B$7)),"High",IF(N91&lt;=Settings!$B$5,"Watch","Normal"))))))</x:f>
      </x:c>
      <x:c r="R91" s="22"/>
      <x:c r="S91" s="24"/>
      <x:c r="T91" s="22"/>
      <x:c r="U91" s="22"/>
    </x:row>
    <x:row r="92" ht="22" customHeight="1">
      <x:c r="A92" s="22"/>
      <x:c r="B92" s="22"/>
      <x:c r="C92" s="22"/>
      <x:c r="D92" s="22"/>
      <x:c r="E92" s="24"/>
      <x:c r="F92" s="24"/>
      <x:c r="G92" s="24"/>
      <x:c r="H92" s="22"/>
      <x:c r="I92" s="22"/>
      <x:c r="J92" s="26"/>
      <x:c r="K92" s="27" t="str">
        <x:f>IF(A92="","",H92*J92)</x:f>
      </x:c>
      <x:c r="L92" t="str">
        <x:f>IF(A92="","",MAX(0,H92-I92))</x:f>
      </x:c>
      <x:c r="M92" s="27" t="str">
        <x:f>IF(A92="","",L92*J92)</x:f>
      </x:c>
      <x:c r="N92" t="str">
        <x:f>IF(A92="","",IF(G92="","",G92-Settings!$B$4))</x:f>
      </x:c>
      <x:c r="O92" t="str">
        <x:f>IF(A92="","",IF(L92=0,0,MAX(0,Settings!$B$4-G92)))</x:f>
      </x:c>
      <x:c r="P92" s="22"/>
      <x:c r="Q92" t="str">
        <x:f>IF(A92="","",IF(L92=0,"Closed",IF(OR(G92="",G92&lt;F92,I92&gt;H92),"Review Data",IF(O92&gt;=Settings!$B$6,"Critical",IF(OR(O92&gt;0,AND(N92&lt;=Settings!$B$5,M92&gt;=Settings!$B$7)),"High",IF(N92&lt;=Settings!$B$5,"Watch","Normal"))))))</x:f>
      </x:c>
      <x:c r="R92" s="22"/>
      <x:c r="S92" s="24"/>
      <x:c r="T92" s="22"/>
      <x:c r="U92" s="22"/>
    </x:row>
    <x:row r="93" ht="22" customHeight="1">
      <x:c r="A93" s="22"/>
      <x:c r="B93" s="22"/>
      <x:c r="C93" s="22"/>
      <x:c r="D93" s="22"/>
      <x:c r="E93" s="24"/>
      <x:c r="F93" s="24"/>
      <x:c r="G93" s="24"/>
      <x:c r="H93" s="22"/>
      <x:c r="I93" s="22"/>
      <x:c r="J93" s="26"/>
      <x:c r="K93" s="27" t="str">
        <x:f>IF(A93="","",H93*J93)</x:f>
      </x:c>
      <x:c r="L93" t="str">
        <x:f>IF(A93="","",MAX(0,H93-I93))</x:f>
      </x:c>
      <x:c r="M93" s="27" t="str">
        <x:f>IF(A93="","",L93*J93)</x:f>
      </x:c>
      <x:c r="N93" t="str">
        <x:f>IF(A93="","",IF(G93="","",G93-Settings!$B$4))</x:f>
      </x:c>
      <x:c r="O93" t="str">
        <x:f>IF(A93="","",IF(L93=0,0,MAX(0,Settings!$B$4-G93)))</x:f>
      </x:c>
      <x:c r="P93" s="22"/>
      <x:c r="Q93" t="str">
        <x:f>IF(A93="","",IF(L93=0,"Closed",IF(OR(G93="",G93&lt;F93,I93&gt;H93),"Review Data",IF(O93&gt;=Settings!$B$6,"Critical",IF(OR(O93&gt;0,AND(N93&lt;=Settings!$B$5,M93&gt;=Settings!$B$7)),"High",IF(N93&lt;=Settings!$B$5,"Watch","Normal"))))))</x:f>
      </x:c>
      <x:c r="R93" s="22"/>
      <x:c r="S93" s="24"/>
      <x:c r="T93" s="22"/>
      <x:c r="U93" s="22"/>
    </x:row>
    <x:row r="94" ht="22" customHeight="1">
      <x:c r="A94" s="22"/>
      <x:c r="B94" s="22"/>
      <x:c r="C94" s="22"/>
      <x:c r="D94" s="22"/>
      <x:c r="E94" s="24"/>
      <x:c r="F94" s="24"/>
      <x:c r="G94" s="24"/>
      <x:c r="H94" s="22"/>
      <x:c r="I94" s="22"/>
      <x:c r="J94" s="26"/>
      <x:c r="K94" s="27" t="str">
        <x:f>IF(A94="","",H94*J94)</x:f>
      </x:c>
      <x:c r="L94" t="str">
        <x:f>IF(A94="","",MAX(0,H94-I94))</x:f>
      </x:c>
      <x:c r="M94" s="27" t="str">
        <x:f>IF(A94="","",L94*J94)</x:f>
      </x:c>
      <x:c r="N94" t="str">
        <x:f>IF(A94="","",IF(G94="","",G94-Settings!$B$4))</x:f>
      </x:c>
      <x:c r="O94" t="str">
        <x:f>IF(A94="","",IF(L94=0,0,MAX(0,Settings!$B$4-G94)))</x:f>
      </x:c>
      <x:c r="P94" s="22"/>
      <x:c r="Q94" t="str">
        <x:f>IF(A94="","",IF(L94=0,"Closed",IF(OR(G94="",G94&lt;F94,I94&gt;H94),"Review Data",IF(O94&gt;=Settings!$B$6,"Critical",IF(OR(O94&gt;0,AND(N94&lt;=Settings!$B$5,M94&gt;=Settings!$B$7)),"High",IF(N94&lt;=Settings!$B$5,"Watch","Normal"))))))</x:f>
      </x:c>
      <x:c r="R94" s="22"/>
      <x:c r="S94" s="24"/>
      <x:c r="T94" s="22"/>
      <x:c r="U94" s="22"/>
    </x:row>
    <x:row r="95" ht="22" customHeight="1">
      <x:c r="A95" s="22"/>
      <x:c r="B95" s="22"/>
      <x:c r="C95" s="22"/>
      <x:c r="D95" s="22"/>
      <x:c r="E95" s="24"/>
      <x:c r="F95" s="24"/>
      <x:c r="G95" s="24"/>
      <x:c r="H95" s="22"/>
      <x:c r="I95" s="22"/>
      <x:c r="J95" s="26"/>
      <x:c r="K95" s="27" t="str">
        <x:f>IF(A95="","",H95*J95)</x:f>
      </x:c>
      <x:c r="L95" t="str">
        <x:f>IF(A95="","",MAX(0,H95-I95))</x:f>
      </x:c>
      <x:c r="M95" s="27" t="str">
        <x:f>IF(A95="","",L95*J95)</x:f>
      </x:c>
      <x:c r="N95" t="str">
        <x:f>IF(A95="","",IF(G95="","",G95-Settings!$B$4))</x:f>
      </x:c>
      <x:c r="O95" t="str">
        <x:f>IF(A95="","",IF(L95=0,0,MAX(0,Settings!$B$4-G95)))</x:f>
      </x:c>
      <x:c r="P95" s="22"/>
      <x:c r="Q95" t="str">
        <x:f>IF(A95="","",IF(L95=0,"Closed",IF(OR(G95="",G95&lt;F95,I95&gt;H95),"Review Data",IF(O95&gt;=Settings!$B$6,"Critical",IF(OR(O95&gt;0,AND(N95&lt;=Settings!$B$5,M95&gt;=Settings!$B$7)),"High",IF(N95&lt;=Settings!$B$5,"Watch","Normal"))))))</x:f>
      </x:c>
      <x:c r="R95" s="22"/>
      <x:c r="S95" s="24"/>
      <x:c r="T95" s="22"/>
      <x:c r="U95" s="22"/>
    </x:row>
    <x:row r="96" ht="22" customHeight="1">
      <x:c r="A96" s="22"/>
      <x:c r="B96" s="22"/>
      <x:c r="C96" s="22"/>
      <x:c r="D96" s="22"/>
      <x:c r="E96" s="24"/>
      <x:c r="F96" s="24"/>
      <x:c r="G96" s="24"/>
      <x:c r="H96" s="22"/>
      <x:c r="I96" s="22"/>
      <x:c r="J96" s="26"/>
      <x:c r="K96" s="27" t="str">
        <x:f>IF(A96="","",H96*J96)</x:f>
      </x:c>
      <x:c r="L96" t="str">
        <x:f>IF(A96="","",MAX(0,H96-I96))</x:f>
      </x:c>
      <x:c r="M96" s="27" t="str">
        <x:f>IF(A96="","",L96*J96)</x:f>
      </x:c>
      <x:c r="N96" t="str">
        <x:f>IF(A96="","",IF(G96="","",G96-Settings!$B$4))</x:f>
      </x:c>
      <x:c r="O96" t="str">
        <x:f>IF(A96="","",IF(L96=0,0,MAX(0,Settings!$B$4-G96)))</x:f>
      </x:c>
      <x:c r="P96" s="22"/>
      <x:c r="Q96" t="str">
        <x:f>IF(A96="","",IF(L96=0,"Closed",IF(OR(G96="",G96&lt;F96,I96&gt;H96),"Review Data",IF(O96&gt;=Settings!$B$6,"Critical",IF(OR(O96&gt;0,AND(N96&lt;=Settings!$B$5,M96&gt;=Settings!$B$7)),"High",IF(N96&lt;=Settings!$B$5,"Watch","Normal"))))))</x:f>
      </x:c>
      <x:c r="R96" s="22"/>
      <x:c r="S96" s="24"/>
      <x:c r="T96" s="22"/>
      <x:c r="U96" s="22"/>
    </x:row>
    <x:row r="97" ht="22" customHeight="1">
      <x:c r="A97" s="22"/>
      <x:c r="B97" s="22"/>
      <x:c r="C97" s="22"/>
      <x:c r="D97" s="22"/>
      <x:c r="E97" s="24"/>
      <x:c r="F97" s="24"/>
      <x:c r="G97" s="24"/>
      <x:c r="H97" s="22"/>
      <x:c r="I97" s="22"/>
      <x:c r="J97" s="26"/>
      <x:c r="K97" s="27" t="str">
        <x:f>IF(A97="","",H97*J97)</x:f>
      </x:c>
      <x:c r="L97" t="str">
        <x:f>IF(A97="","",MAX(0,H97-I97))</x:f>
      </x:c>
      <x:c r="M97" s="27" t="str">
        <x:f>IF(A97="","",L97*J97)</x:f>
      </x:c>
      <x:c r="N97" t="str">
        <x:f>IF(A97="","",IF(G97="","",G97-Settings!$B$4))</x:f>
      </x:c>
      <x:c r="O97" t="str">
        <x:f>IF(A97="","",IF(L97=0,0,MAX(0,Settings!$B$4-G97)))</x:f>
      </x:c>
      <x:c r="P97" s="22"/>
      <x:c r="Q97" t="str">
        <x:f>IF(A97="","",IF(L97=0,"Closed",IF(OR(G97="",G97&lt;F97,I97&gt;H97),"Review Data",IF(O97&gt;=Settings!$B$6,"Critical",IF(OR(O97&gt;0,AND(N97&lt;=Settings!$B$5,M97&gt;=Settings!$B$7)),"High",IF(N97&lt;=Settings!$B$5,"Watch","Normal"))))))</x:f>
      </x:c>
      <x:c r="R97" s="22"/>
      <x:c r="S97" s="24"/>
      <x:c r="T97" s="22"/>
      <x:c r="U97" s="22"/>
    </x:row>
    <x:row r="98" ht="22" customHeight="1">
      <x:c r="A98" s="22"/>
      <x:c r="B98" s="22"/>
      <x:c r="C98" s="22"/>
      <x:c r="D98" s="22"/>
      <x:c r="E98" s="24"/>
      <x:c r="F98" s="24"/>
      <x:c r="G98" s="24"/>
      <x:c r="H98" s="22"/>
      <x:c r="I98" s="22"/>
      <x:c r="J98" s="26"/>
      <x:c r="K98" s="27" t="str">
        <x:f>IF(A98="","",H98*J98)</x:f>
      </x:c>
      <x:c r="L98" t="str">
        <x:f>IF(A98="","",MAX(0,H98-I98))</x:f>
      </x:c>
      <x:c r="M98" s="27" t="str">
        <x:f>IF(A98="","",L98*J98)</x:f>
      </x:c>
      <x:c r="N98" t="str">
        <x:f>IF(A98="","",IF(G98="","",G98-Settings!$B$4))</x:f>
      </x:c>
      <x:c r="O98" t="str">
        <x:f>IF(A98="","",IF(L98=0,0,MAX(0,Settings!$B$4-G98)))</x:f>
      </x:c>
      <x:c r="P98" s="22"/>
      <x:c r="Q98" t="str">
        <x:f>IF(A98="","",IF(L98=0,"Closed",IF(OR(G98="",G98&lt;F98,I98&gt;H98),"Review Data",IF(O98&gt;=Settings!$B$6,"Critical",IF(OR(O98&gt;0,AND(N98&lt;=Settings!$B$5,M98&gt;=Settings!$B$7)),"High",IF(N98&lt;=Settings!$B$5,"Watch","Normal"))))))</x:f>
      </x:c>
      <x:c r="R98" s="22"/>
      <x:c r="S98" s="24"/>
      <x:c r="T98" s="22"/>
      <x:c r="U98" s="22"/>
    </x:row>
    <x:row r="99" ht="22" customHeight="1">
      <x:c r="A99" s="22"/>
      <x:c r="B99" s="22"/>
      <x:c r="C99" s="22"/>
      <x:c r="D99" s="22"/>
      <x:c r="E99" s="24"/>
      <x:c r="F99" s="24"/>
      <x:c r="G99" s="24"/>
      <x:c r="H99" s="22"/>
      <x:c r="I99" s="22"/>
      <x:c r="J99" s="26"/>
      <x:c r="K99" s="27" t="str">
        <x:f>IF(A99="","",H99*J99)</x:f>
      </x:c>
      <x:c r="L99" t="str">
        <x:f>IF(A99="","",MAX(0,H99-I99))</x:f>
      </x:c>
      <x:c r="M99" s="27" t="str">
        <x:f>IF(A99="","",L99*J99)</x:f>
      </x:c>
      <x:c r="N99" t="str">
        <x:f>IF(A99="","",IF(G99="","",G99-Settings!$B$4))</x:f>
      </x:c>
      <x:c r="O99" t="str">
        <x:f>IF(A99="","",IF(L99=0,0,MAX(0,Settings!$B$4-G99)))</x:f>
      </x:c>
      <x:c r="P99" s="22"/>
      <x:c r="Q99" t="str">
        <x:f>IF(A99="","",IF(L99=0,"Closed",IF(OR(G99="",G99&lt;F99,I99&gt;H99),"Review Data",IF(O99&gt;=Settings!$B$6,"Critical",IF(OR(O99&gt;0,AND(N99&lt;=Settings!$B$5,M99&gt;=Settings!$B$7)),"High",IF(N99&lt;=Settings!$B$5,"Watch","Normal"))))))</x:f>
      </x:c>
      <x:c r="R99" s="22"/>
      <x:c r="S99" s="24"/>
      <x:c r="T99" s="22"/>
      <x:c r="U99" s="22"/>
    </x:row>
    <x:row r="100" ht="22" customHeight="1">
      <x:c r="A100" s="22"/>
      <x:c r="B100" s="22"/>
      <x:c r="C100" s="22"/>
      <x:c r="D100" s="22"/>
      <x:c r="E100" s="24"/>
      <x:c r="F100" s="24"/>
      <x:c r="G100" s="24"/>
      <x:c r="H100" s="22"/>
      <x:c r="I100" s="22"/>
      <x:c r="J100" s="26"/>
      <x:c r="K100" s="27" t="str">
        <x:f>IF(A100="","",H100*J100)</x:f>
      </x:c>
      <x:c r="L100" t="str">
        <x:f>IF(A100="","",MAX(0,H100-I100))</x:f>
      </x:c>
      <x:c r="M100" s="27" t="str">
        <x:f>IF(A100="","",L100*J100)</x:f>
      </x:c>
      <x:c r="N100" t="str">
        <x:f>IF(A100="","",IF(G100="","",G100-Settings!$B$4))</x:f>
      </x:c>
      <x:c r="O100" t="str">
        <x:f>IF(A100="","",IF(L100=0,0,MAX(0,Settings!$B$4-G100)))</x:f>
      </x:c>
      <x:c r="P100" s="22"/>
      <x:c r="Q100" t="str">
        <x:f>IF(A100="","",IF(L100=0,"Closed",IF(OR(G100="",G100&lt;F100,I100&gt;H100),"Review Data",IF(O100&gt;=Settings!$B$6,"Critical",IF(OR(O100&gt;0,AND(N100&lt;=Settings!$B$5,M100&gt;=Settings!$B$7)),"High",IF(N100&lt;=Settings!$B$5,"Watch","Normal"))))))</x:f>
      </x:c>
      <x:c r="R100" s="22"/>
      <x:c r="S100" s="24"/>
      <x:c r="T100" s="22"/>
      <x:c r="U100" s="22"/>
    </x:row>
    <x:row r="101" ht="22" customHeight="1">
      <x:c r="A101" s="22"/>
      <x:c r="B101" s="22"/>
      <x:c r="C101" s="22"/>
      <x:c r="D101" s="22"/>
      <x:c r="E101" s="24"/>
      <x:c r="F101" s="24"/>
      <x:c r="G101" s="24"/>
      <x:c r="H101" s="22"/>
      <x:c r="I101" s="22"/>
      <x:c r="J101" s="26"/>
      <x:c r="K101" s="27" t="str">
        <x:f>IF(A101="","",H101*J101)</x:f>
      </x:c>
      <x:c r="L101" t="str">
        <x:f>IF(A101="","",MAX(0,H101-I101))</x:f>
      </x:c>
      <x:c r="M101" s="27" t="str">
        <x:f>IF(A101="","",L101*J101)</x:f>
      </x:c>
      <x:c r="N101" t="str">
        <x:f>IF(A101="","",IF(G101="","",G101-Settings!$B$4))</x:f>
      </x:c>
      <x:c r="O101" t="str">
        <x:f>IF(A101="","",IF(L101=0,0,MAX(0,Settings!$B$4-G101)))</x:f>
      </x:c>
      <x:c r="P101" s="22"/>
      <x:c r="Q101" t="str">
        <x:f>IF(A101="","",IF(L101=0,"Closed",IF(OR(G101="",G101&lt;F101,I101&gt;H101),"Review Data",IF(O101&gt;=Settings!$B$6,"Critical",IF(OR(O101&gt;0,AND(N101&lt;=Settings!$B$5,M101&gt;=Settings!$B$7)),"High",IF(N101&lt;=Settings!$B$5,"Watch","Normal"))))))</x:f>
      </x:c>
      <x:c r="R101" s="22"/>
      <x:c r="S101" s="24"/>
      <x:c r="T101" s="22"/>
      <x:c r="U101" s="22"/>
    </x:row>
    <x:row r="102" ht="22" customHeight="1">
      <x:c r="A102" s="22"/>
      <x:c r="B102" s="22"/>
      <x:c r="C102" s="22"/>
      <x:c r="D102" s="22"/>
      <x:c r="E102" s="24"/>
      <x:c r="F102" s="24"/>
      <x:c r="G102" s="24"/>
      <x:c r="H102" s="22"/>
      <x:c r="I102" s="22"/>
      <x:c r="J102" s="26"/>
      <x:c r="K102" s="27" t="str">
        <x:f>IF(A102="","",H102*J102)</x:f>
      </x:c>
      <x:c r="L102" t="str">
        <x:f>IF(A102="","",MAX(0,H102-I102))</x:f>
      </x:c>
      <x:c r="M102" s="27" t="str">
        <x:f>IF(A102="","",L102*J102)</x:f>
      </x:c>
      <x:c r="N102" t="str">
        <x:f>IF(A102="","",IF(G102="","",G102-Settings!$B$4))</x:f>
      </x:c>
      <x:c r="O102" t="str">
        <x:f>IF(A102="","",IF(L102=0,0,MAX(0,Settings!$B$4-G102)))</x:f>
      </x:c>
      <x:c r="P102" s="22"/>
      <x:c r="Q102" t="str">
        <x:f>IF(A102="","",IF(L102=0,"Closed",IF(OR(G102="",G102&lt;F102,I102&gt;H102),"Review Data",IF(O102&gt;=Settings!$B$6,"Critical",IF(OR(O102&gt;0,AND(N102&lt;=Settings!$B$5,M102&gt;=Settings!$B$7)),"High",IF(N102&lt;=Settings!$B$5,"Watch","Normal"))))))</x:f>
      </x:c>
      <x:c r="R102" s="22"/>
      <x:c r="S102" s="24"/>
      <x:c r="T102" s="22"/>
      <x:c r="U102" s="22"/>
    </x:row>
    <x:row r="103" ht="22" customHeight="1">
      <x:c r="A103" s="22"/>
      <x:c r="B103" s="22"/>
      <x:c r="C103" s="22"/>
      <x:c r="D103" s="22"/>
      <x:c r="E103" s="24"/>
      <x:c r="F103" s="24"/>
      <x:c r="G103" s="24"/>
      <x:c r="H103" s="22"/>
      <x:c r="I103" s="22"/>
      <x:c r="J103" s="26"/>
      <x:c r="K103" s="27" t="str">
        <x:f>IF(A103="","",H103*J103)</x:f>
      </x:c>
      <x:c r="L103" t="str">
        <x:f>IF(A103="","",MAX(0,H103-I103))</x:f>
      </x:c>
      <x:c r="M103" s="27" t="str">
        <x:f>IF(A103="","",L103*J103)</x:f>
      </x:c>
      <x:c r="N103" t="str">
        <x:f>IF(A103="","",IF(G103="","",G103-Settings!$B$4))</x:f>
      </x:c>
      <x:c r="O103" t="str">
        <x:f>IF(A103="","",IF(L103=0,0,MAX(0,Settings!$B$4-G103)))</x:f>
      </x:c>
      <x:c r="P103" s="22"/>
      <x:c r="Q103" t="str">
        <x:f>IF(A103="","",IF(L103=0,"Closed",IF(OR(G103="",G103&lt;F103,I103&gt;H103),"Review Data",IF(O103&gt;=Settings!$B$6,"Critical",IF(OR(O103&gt;0,AND(N103&lt;=Settings!$B$5,M103&gt;=Settings!$B$7)),"High",IF(N103&lt;=Settings!$B$5,"Watch","Normal"))))))</x:f>
      </x:c>
      <x:c r="R103" s="22"/>
      <x:c r="S103" s="24"/>
      <x:c r="T103" s="22"/>
      <x:c r="U103" s="22"/>
    </x:row>
    <x:row r="104" ht="22" customHeight="1">
      <x:c r="A104" s="22"/>
      <x:c r="B104" s="22"/>
      <x:c r="C104" s="22"/>
      <x:c r="D104" s="22"/>
      <x:c r="E104" s="24"/>
      <x:c r="F104" s="24"/>
      <x:c r="G104" s="24"/>
      <x:c r="H104" s="22"/>
      <x:c r="I104" s="22"/>
      <x:c r="J104" s="26"/>
      <x:c r="K104" s="27" t="str">
        <x:f>IF(A104="","",H104*J104)</x:f>
      </x:c>
      <x:c r="L104" t="str">
        <x:f>IF(A104="","",MAX(0,H104-I104))</x:f>
      </x:c>
      <x:c r="M104" s="27" t="str">
        <x:f>IF(A104="","",L104*J104)</x:f>
      </x:c>
      <x:c r="N104" t="str">
        <x:f>IF(A104="","",IF(G104="","",G104-Settings!$B$4))</x:f>
      </x:c>
      <x:c r="O104" t="str">
        <x:f>IF(A104="","",IF(L104=0,0,MAX(0,Settings!$B$4-G104)))</x:f>
      </x:c>
      <x:c r="P104" s="22"/>
      <x:c r="Q104" t="str">
        <x:f>IF(A104="","",IF(L104=0,"Closed",IF(OR(G104="",G104&lt;F104,I104&gt;H104),"Review Data",IF(O104&gt;=Settings!$B$6,"Critical",IF(OR(O104&gt;0,AND(N104&lt;=Settings!$B$5,M104&gt;=Settings!$B$7)),"High",IF(N104&lt;=Settings!$B$5,"Watch","Normal"))))))</x:f>
      </x:c>
      <x:c r="R104" s="22"/>
      <x:c r="S104" s="24"/>
      <x:c r="T104" s="22"/>
      <x:c r="U104" s="22"/>
    </x:row>
    <x:row r="105" ht="22" customHeight="1">
      <x:c r="A105" s="22"/>
      <x:c r="B105" s="22"/>
      <x:c r="C105" s="22"/>
      <x:c r="D105" s="22"/>
      <x:c r="E105" s="24"/>
      <x:c r="F105" s="24"/>
      <x:c r="G105" s="24"/>
      <x:c r="H105" s="22"/>
      <x:c r="I105" s="22"/>
      <x:c r="J105" s="26"/>
      <x:c r="K105" s="27" t="str">
        <x:f>IF(A105="","",H105*J105)</x:f>
      </x:c>
      <x:c r="L105" t="str">
        <x:f>IF(A105="","",MAX(0,H105-I105))</x:f>
      </x:c>
      <x:c r="M105" s="27" t="str">
        <x:f>IF(A105="","",L105*J105)</x:f>
      </x:c>
      <x:c r="N105" t="str">
        <x:f>IF(A105="","",IF(G105="","",G105-Settings!$B$4))</x:f>
      </x:c>
      <x:c r="O105" t="str">
        <x:f>IF(A105="","",IF(L105=0,0,MAX(0,Settings!$B$4-G105)))</x:f>
      </x:c>
      <x:c r="P105" s="22"/>
      <x:c r="Q105" t="str">
        <x:f>IF(A105="","",IF(L105=0,"Closed",IF(OR(G105="",G105&lt;F105,I105&gt;H105),"Review Data",IF(O105&gt;=Settings!$B$6,"Critical",IF(OR(O105&gt;0,AND(N105&lt;=Settings!$B$5,M105&gt;=Settings!$B$7)),"High",IF(N105&lt;=Settings!$B$5,"Watch","Normal"))))))</x:f>
      </x:c>
      <x:c r="R105" s="22"/>
      <x:c r="S105" s="24"/>
      <x:c r="T105" s="22"/>
      <x:c r="U105" s="22"/>
    </x:row>
  </x:sheetData>
  <x:mergeCells>
    <x:mergeCell ref="A1:U2"/>
  </x:mergeCells>
  <x:conditionalFormatting sqref="Q5:Q105">
    <x:cfRule type="expression" dxfId="0" priority="1">
      <x:formula>Q5="Critical"</x:formula>
    </x:cfRule>
    <x:cfRule type="expression" dxfId="1" priority="2">
      <x:formula>Q5="High"</x:formula>
    </x:cfRule>
    <x:cfRule type="expression" dxfId="2" priority="3">
      <x:formula>Q5="Watch"</x:formula>
    </x:cfRule>
  </x:conditionalFormatting>
  <x:dataValidations count="1">
    <x:dataValidation type="list" sqref="P5:P105">
      <x:formula1>"Open,Partially Received,Received,On Hold,Cancelled"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36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0" hidden="0" customWidth="1"/>
    <x:col min="11" max="11" width="40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27" hidden="0" customWidth="1"/>
  </x:cols>
  <x:sheetData>
    <x:row r="1" ht="24" customHeight="1">
      <x:c r="A1" s="3" t="str">
        <x:v>EVOF | Supply Risk &amp; Mitigation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4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4" ht="23" customHeight="1">
      <x:c r="A4" s="18" t="str">
        <x:v>Risk ID</x:v>
      </x:c>
      <x:c r="B4" s="18" t="str">
        <x:v>Related PO</x:v>
      </x:c>
      <x:c r="C4" s="18" t="str">
        <x:v>Risk Category</x:v>
      </x:c>
      <x:c r="D4" s="18" t="str">
        <x:v>Description</x:v>
      </x:c>
      <x:c r="E4" s="18" t="str">
        <x:v>Likelihood 1–5</x:v>
      </x:c>
      <x:c r="F4" s="18" t="str">
        <x:v>Impact 1–5</x:v>
      </x:c>
      <x:c r="G4" s="18" t="str">
        <x:v>Risk Score</x:v>
      </x:c>
      <x:c r="H4" s="18" t="str">
        <x:v>Priority</x:v>
      </x:c>
      <x:c r="I4" s="18" t="str">
        <x:v>Owner</x:v>
      </x:c>
      <x:c r="J4" s="18" t="str">
        <x:v>Mitigation / Contingency</x:v>
      </x:c>
      <x:c r="K4" s="18" t="str">
        <x:v>Next Action</x:v>
      </x:c>
      <x:c r="L4" s="18" t="str">
        <x:v>Action Due</x:v>
      </x:c>
      <x:c r="M4" s="18" t="str">
        <x:v>Status</x:v>
      </x:c>
      <x:c r="N4" s="18" t="str">
        <x:v>Last Reviewed</x:v>
      </x:c>
      <x:c r="O4" s="18" t="str">
        <x:v>Escalation</x:v>
      </x:c>
      <x:c r="P4" s="18" t="str">
        <x:v>Evidence / Notes</x:v>
      </x:c>
    </x:row>
    <x:row r="5" ht="23" customHeight="1">
      <x:c r="A5" s="22" t="str">
        <x:v>R-001</x:v>
      </x:c>
      <x:c r="B5" s="22" t="str">
        <x:v>PO-26001</x:v>
      </x:c>
      <x:c r="C5" s="22" t="str">
        <x:v>Late Delivery</x:v>
      </x:c>
      <x:c r="D5" s="22" t="str">
        <x:v>Remaining servo assemblies delayed</x:v>
      </x:c>
      <x:c r="E5" s="22" t="n">
        <x:v>4</x:v>
      </x:c>
      <x:c r="F5" s="22" t="n">
        <x:v>4</x:v>
      </x:c>
      <x:c r="G5" t="n">
        <x:f>IF(A5="","",E5*F5)</x:f>
        <x:v>16</x:v>
      </x:c>
      <x:c r="H5" t="str">
        <x:f>IF(A5="","",IF(G5&gt;=16,"Critical",IF(G5&gt;=10,"High",IF(G5&gt;=5,"Medium","Low"))))</x:f>
        <x:v>Critical</x:v>
      </x:c>
      <x:c r="I5" s="22" t="str">
        <x:v>A. Martinez</x:v>
      </x:c>
      <x:c r="J5" s="22" t="str">
        <x:v>Expedite partial shipment and assess alternate stock</x:v>
      </x:c>
      <x:c r="K5" s="22" t="str">
        <x:v>Confirm carrier pickup</x:v>
      </x:c>
      <x:c r="L5" s="24" t="n">
        <x:v>46311</x:v>
      </x:c>
      <x:c r="M5" s="22" t="str">
        <x:v>In Progress</x:v>
      </x:c>
      <x:c r="N5" s="24" t="n">
        <x:v>46309</x:v>
      </x:c>
      <x:c r="O5" s="22" t="str">
        <x:v>Project Manager</x:v>
      </x:c>
      <x:c r="P5" s="22" t="str">
        <x:v>6 outstanding</x:v>
      </x:c>
    </x:row>
    <x:row r="6" ht="23" customHeight="1">
      <x:c r="A6" s="22" t="str">
        <x:v>R-002</x:v>
      </x:c>
      <x:c r="B6" s="22" t="str">
        <x:v>PO-26002</x:v>
      </x:c>
      <x:c r="C6" s="22" t="str">
        <x:v>Supplier Capacity</x:v>
      </x:c>
      <x:c r="D6" s="22" t="str">
        <x:v>Revised ETA beyond requested due date</x:v>
      </x:c>
      <x:c r="E6" s="22" t="n">
        <x:v>4</x:v>
      </x:c>
      <x:c r="F6" s="22" t="n">
        <x:v>3</x:v>
      </x:c>
      <x:c r="G6" t="n">
        <x:f>IF(A6="","",E6*F6)</x:f>
        <x:v>12</x:v>
      </x:c>
      <x:c r="H6" t="str">
        <x:f>IF(A6="","",IF(G6&gt;=16,"Critical",IF(G6&gt;=10,"High",IF(G6&gt;=5,"Medium","Low"))))</x:f>
        <x:v>High</x:v>
      </x:c>
      <x:c r="I6" s="22" t="str">
        <x:v>A. Martinez</x:v>
      </x:c>
      <x:c r="J6" s="22" t="str">
        <x:v>Request recovery schedule; evaluate split shipment</x:v>
      </x:c>
      <x:c r="K6" s="22" t="str">
        <x:v>Supplier escalation call</x:v>
      </x:c>
      <x:c r="L6" s="24" t="n">
        <x:v>46312</x:v>
      </x:c>
      <x:c r="M6" s="22" t="str">
        <x:v>Open</x:v>
      </x:c>
      <x:c r="N6" s="24" t="n">
        <x:v>46310</x:v>
      </x:c>
      <x:c r="O6" s="22" t="str">
        <x:v>Purchasing Lead</x:v>
      </x:c>
      <x:c r="P6" s="22" t="str">
        <x:v>Supplier B capacity</x:v>
      </x:c>
    </x:row>
    <x:row r="7" ht="23" customHeight="1">
      <x:c r="A7" s="22" t="str">
        <x:v>R-003</x:v>
      </x:c>
      <x:c r="B7" s="22" t="str">
        <x:v>PO-26006</x:v>
      </x:c>
      <x:c r="C7" s="22" t="str">
        <x:v>Project Delay</x:v>
      </x:c>
      <x:c r="D7" s="22" t="str">
        <x:v>HMI late arrival threatens commissioning</x:v>
      </x:c>
      <x:c r="E7" s="22" t="n">
        <x:v>5</x:v>
      </x:c>
      <x:c r="F7" s="22" t="n">
        <x:v>5</x:v>
      </x:c>
      <x:c r="G7" t="n">
        <x:f>IF(A7="","",E7*F7)</x:f>
        <x:v>25</x:v>
      </x:c>
      <x:c r="H7" t="str">
        <x:f>IF(A7="","",IF(G7&gt;=16,"Critical",IF(G7&gt;=10,"High",IF(G7&gt;=5,"Medium","Low"))))</x:f>
        <x:v>Critical</x:v>
      </x:c>
      <x:c r="I7" s="22" t="str">
        <x:v>J. Lopez</x:v>
      </x:c>
      <x:c r="J7" s="22" t="str">
        <x:v>Validate substitute and reschedule install sequence</x:v>
      </x:c>
      <x:c r="K7" s="22" t="str">
        <x:v>Engineering approval</x:v>
      </x:c>
      <x:c r="L7" s="24" t="n">
        <x:v>46311</x:v>
      </x:c>
      <x:c r="M7" s="22" t="str">
        <x:v>In Progress</x:v>
      </x:c>
      <x:c r="N7" s="24" t="n">
        <x:v>46310</x:v>
      </x:c>
      <x:c r="O7" s="22" t="str">
        <x:v>Operations Manager</x:v>
      </x:c>
      <x:c r="P7" s="22" t="str">
        <x:v>Critical path</x:v>
      </x:c>
    </x:row>
    <x:row r="8" ht="23" customHeight="1">
      <x:c r="A8" s="22" t="str">
        <x:v>R-004</x:v>
      </x:c>
      <x:c r="B8" s="22" t="str">
        <x:v>PO-26003</x:v>
      </x:c>
      <x:c r="C8" s="22" t="str">
        <x:v>Single Source</x:v>
      </x:c>
      <x:c r="D8" s="22" t="str">
        <x:v>PLC available from one qualified supplier</x:v>
      </x:c>
      <x:c r="E8" s="22" t="n">
        <x:v>3</x:v>
      </x:c>
      <x:c r="F8" s="22" t="n">
        <x:v>5</x:v>
      </x:c>
      <x:c r="G8" t="n">
        <x:f>IF(A8="","",E8*F8)</x:f>
        <x:v>15</x:v>
      </x:c>
      <x:c r="H8" t="str">
        <x:f>IF(A8="","",IF(G8&gt;=16,"Critical",IF(G8&gt;=10,"High",IF(G8&gt;=5,"Medium","Low"))))</x:f>
        <x:v>High</x:v>
      </x:c>
      <x:c r="I8" s="22" t="str">
        <x:v>J. Lopez</x:v>
      </x:c>
      <x:c r="J8" s="22" t="str">
        <x:v>Validate backup qualified option</x:v>
      </x:c>
      <x:c r="K8" s="22" t="str">
        <x:v>Check second-source feasibility</x:v>
      </x:c>
      <x:c r="L8" s="24" t="n">
        <x:v>46315</x:v>
      </x:c>
      <x:c r="M8" s="22" t="str">
        <x:v>Open</x:v>
      </x:c>
      <x:c r="N8" s="24" t="n">
        <x:v>46308</x:v>
      </x:c>
      <x:c r="O8" s="22" t="str">
        <x:v>Engineering</x:v>
      </x:c>
      <x:c r="P8" s="22" t="str">
        <x:v>Qualification needed</x:v>
      </x:c>
    </x:row>
    <x:row r="9" ht="23" customHeight="1">
      <x:c r="A9" s="22" t="str">
        <x:v>R-005</x:v>
      </x:c>
      <x:c r="B9" s="22" t="str">
        <x:v>PO-26009</x:v>
      </x:c>
      <x:c r="C9" s="22" t="str">
        <x:v>Logistics</x:v>
      </x:c>
      <x:c r="D9" s="22" t="str">
        <x:v>Encoder shipment confirmation pending</x:v>
      </x:c>
      <x:c r="E9" s="22" t="n">
        <x:v>2</x:v>
      </x:c>
      <x:c r="F9" s="22" t="n">
        <x:v>3</x:v>
      </x:c>
      <x:c r="G9" t="n">
        <x:f>IF(A9="","",E9*F9)</x:f>
        <x:v>6</x:v>
      </x:c>
      <x:c r="H9" t="str">
        <x:f>IF(A9="","",IF(G9&gt;=16,"Critical",IF(G9&gt;=10,"High",IF(G9&gt;=5,"Medium","Low"))))</x:f>
        <x:v>Medium</x:v>
      </x:c>
      <x:c r="I9" s="22" t="str">
        <x:v>A. Martinez</x:v>
      </x:c>
      <x:c r="J9" s="22" t="str">
        <x:v>Obtain AWB and transit milestones</x:v>
      </x:c>
      <x:c r="K9" s="22" t="str">
        <x:v>Request tracking ID</x:v>
      </x:c>
      <x:c r="L9" s="24" t="n">
        <x:v>46311</x:v>
      </x:c>
      <x:c r="M9" s="22" t="str">
        <x:v>Open</x:v>
      </x:c>
      <x:c r="N9" s="24" t="n">
        <x:v>46310</x:v>
      </x:c>
      <x:c r="O9" s="22" t="str">
        <x:v>Buyer</x:v>
      </x:c>
      <x:c r="P9" s="22" t="str">
        <x:v>Monitor</x:v>
      </x:c>
    </x:row>
    <x:row r="10" ht="23" customHeight="1">
      <x:c r="A10" s="22"/>
      <x:c r="B10" s="22"/>
      <x:c r="C10" s="22"/>
      <x:c r="D10" s="22"/>
      <x:c r="E10" s="22"/>
      <x:c r="F10" s="22"/>
      <x:c r="G10" t="str">
        <x:f>IF(A10="","",E10*F10)</x:f>
      </x:c>
      <x:c r="H10" t="str">
        <x:f>IF(A10="","",IF(G10&gt;=16,"Critical",IF(G10&gt;=10,"High",IF(G10&gt;=5,"Medium","Low"))))</x:f>
      </x:c>
      <x:c r="I10" s="22"/>
      <x:c r="J10" s="22"/>
      <x:c r="K10" s="22"/>
      <x:c r="L10" s="24"/>
      <x:c r="M10" s="22"/>
      <x:c r="N10" s="24"/>
      <x:c r="O10" s="22"/>
      <x:c r="P10" s="22"/>
    </x:row>
    <x:row r="11" ht="23" customHeight="1">
      <x:c r="A11" s="22"/>
      <x:c r="B11" s="22"/>
      <x:c r="C11" s="22"/>
      <x:c r="D11" s="22"/>
      <x:c r="E11" s="22"/>
      <x:c r="F11" s="22"/>
      <x:c r="G11" t="str">
        <x:f>IF(A11="","",E11*F11)</x:f>
      </x:c>
      <x:c r="H11" t="str">
        <x:f>IF(A11="","",IF(G11&gt;=16,"Critical",IF(G11&gt;=10,"High",IF(G11&gt;=5,"Medium","Low"))))</x:f>
      </x:c>
      <x:c r="I11" s="22"/>
      <x:c r="J11" s="22"/>
      <x:c r="K11" s="22"/>
      <x:c r="L11" s="24"/>
      <x:c r="M11" s="22"/>
      <x:c r="N11" s="24"/>
      <x:c r="O11" s="22"/>
      <x:c r="P11" s="22"/>
    </x:row>
    <x:row r="12" ht="23" customHeight="1">
      <x:c r="A12" s="22"/>
      <x:c r="B12" s="22"/>
      <x:c r="C12" s="22"/>
      <x:c r="D12" s="22"/>
      <x:c r="E12" s="22"/>
      <x:c r="F12" s="22"/>
      <x:c r="G12" t="str">
        <x:f>IF(A12="","",E12*F12)</x:f>
      </x:c>
      <x:c r="H12" t="str">
        <x:f>IF(A12="","",IF(G12&gt;=16,"Critical",IF(G12&gt;=10,"High",IF(G12&gt;=5,"Medium","Low"))))</x:f>
      </x:c>
      <x:c r="I12" s="22"/>
      <x:c r="J12" s="22"/>
      <x:c r="K12" s="22"/>
      <x:c r="L12" s="24"/>
      <x:c r="M12" s="22"/>
      <x:c r="N12" s="24"/>
      <x:c r="O12" s="22"/>
      <x:c r="P12" s="22"/>
    </x:row>
    <x:row r="13" ht="23" customHeight="1">
      <x:c r="A13" s="22"/>
      <x:c r="B13" s="22"/>
      <x:c r="C13" s="22"/>
      <x:c r="D13" s="22"/>
      <x:c r="E13" s="22"/>
      <x:c r="F13" s="22"/>
      <x:c r="G13" t="str">
        <x:f>IF(A13="","",E13*F13)</x:f>
      </x:c>
      <x:c r="H13" t="str">
        <x:f>IF(A13="","",IF(G13&gt;=16,"Critical",IF(G13&gt;=10,"High",IF(G13&gt;=5,"Medium","Low"))))</x:f>
      </x:c>
      <x:c r="I13" s="22"/>
      <x:c r="J13" s="22"/>
      <x:c r="K13" s="22"/>
      <x:c r="L13" s="24"/>
      <x:c r="M13" s="22"/>
      <x:c r="N13" s="24"/>
      <x:c r="O13" s="22"/>
      <x:c r="P13" s="22"/>
    </x:row>
    <x:row r="14" ht="23" customHeight="1">
      <x:c r="A14" s="22"/>
      <x:c r="B14" s="22"/>
      <x:c r="C14" s="22"/>
      <x:c r="D14" s="22"/>
      <x:c r="E14" s="22"/>
      <x:c r="F14" s="22"/>
      <x:c r="G14" t="str">
        <x:f>IF(A14="","",E14*F14)</x:f>
      </x:c>
      <x:c r="H14" t="str">
        <x:f>IF(A14="","",IF(G14&gt;=16,"Critical",IF(G14&gt;=10,"High",IF(G14&gt;=5,"Medium","Low"))))</x:f>
      </x:c>
      <x:c r="I14" s="22"/>
      <x:c r="J14" s="22"/>
      <x:c r="K14" s="22"/>
      <x:c r="L14" s="24"/>
      <x:c r="M14" s="22"/>
      <x:c r="N14" s="24"/>
      <x:c r="O14" s="22"/>
      <x:c r="P14" s="22"/>
    </x:row>
    <x:row r="15" ht="23" customHeight="1">
      <x:c r="A15" s="22"/>
      <x:c r="B15" s="22"/>
      <x:c r="C15" s="22"/>
      <x:c r="D15" s="22"/>
      <x:c r="E15" s="22"/>
      <x:c r="F15" s="22"/>
      <x:c r="G15" t="str">
        <x:f>IF(A15="","",E15*F15)</x:f>
      </x:c>
      <x:c r="H15" t="str">
        <x:f>IF(A15="","",IF(G15&gt;=16,"Critical",IF(G15&gt;=10,"High",IF(G15&gt;=5,"Medium","Low"))))</x:f>
      </x:c>
      <x:c r="I15" s="22"/>
      <x:c r="J15" s="22"/>
      <x:c r="K15" s="22"/>
      <x:c r="L15" s="24"/>
      <x:c r="M15" s="22"/>
      <x:c r="N15" s="24"/>
      <x:c r="O15" s="22"/>
      <x:c r="P15" s="22"/>
    </x:row>
    <x:row r="16" ht="23" customHeight="1">
      <x:c r="A16" s="22"/>
      <x:c r="B16" s="22"/>
      <x:c r="C16" s="22"/>
      <x:c r="D16" s="22"/>
      <x:c r="E16" s="22"/>
      <x:c r="F16" s="22"/>
      <x:c r="G16" t="str">
        <x:f>IF(A16="","",E16*F16)</x:f>
      </x:c>
      <x:c r="H16" t="str">
        <x:f>IF(A16="","",IF(G16&gt;=16,"Critical",IF(G16&gt;=10,"High",IF(G16&gt;=5,"Medium","Low"))))</x:f>
      </x:c>
      <x:c r="I16" s="22"/>
      <x:c r="J16" s="22"/>
      <x:c r="K16" s="22"/>
      <x:c r="L16" s="24"/>
      <x:c r="M16" s="22"/>
      <x:c r="N16" s="24"/>
      <x:c r="O16" s="22"/>
      <x:c r="P16" s="22"/>
    </x:row>
    <x:row r="17" ht="23" customHeight="1">
      <x:c r="A17" s="22"/>
      <x:c r="B17" s="22"/>
      <x:c r="C17" s="22"/>
      <x:c r="D17" s="22"/>
      <x:c r="E17" s="22"/>
      <x:c r="F17" s="22"/>
      <x:c r="G17" t="str">
        <x:f>IF(A17="","",E17*F17)</x:f>
      </x:c>
      <x:c r="H17" t="str">
        <x:f>IF(A17="","",IF(G17&gt;=16,"Critical",IF(G17&gt;=10,"High",IF(G17&gt;=5,"Medium","Low"))))</x:f>
      </x:c>
      <x:c r="I17" s="22"/>
      <x:c r="J17" s="22"/>
      <x:c r="K17" s="22"/>
      <x:c r="L17" s="24"/>
      <x:c r="M17" s="22"/>
      <x:c r="N17" s="24"/>
      <x:c r="O17" s="22"/>
      <x:c r="P17" s="22"/>
    </x:row>
    <x:row r="18" ht="23" customHeight="1">
      <x:c r="A18" s="22"/>
      <x:c r="B18" s="22"/>
      <x:c r="C18" s="22"/>
      <x:c r="D18" s="22"/>
      <x:c r="E18" s="22"/>
      <x:c r="F18" s="22"/>
      <x:c r="G18" t="str">
        <x:f>IF(A18="","",E18*F18)</x:f>
      </x:c>
      <x:c r="H18" t="str">
        <x:f>IF(A18="","",IF(G18&gt;=16,"Critical",IF(G18&gt;=10,"High",IF(G18&gt;=5,"Medium","Low"))))</x:f>
      </x:c>
      <x:c r="I18" s="22"/>
      <x:c r="J18" s="22"/>
      <x:c r="K18" s="22"/>
      <x:c r="L18" s="24"/>
      <x:c r="M18" s="22"/>
      <x:c r="N18" s="24"/>
      <x:c r="O18" s="22"/>
      <x:c r="P18" s="22"/>
    </x:row>
    <x:row r="19" ht="23" customHeight="1">
      <x:c r="A19" s="22"/>
      <x:c r="B19" s="22"/>
      <x:c r="C19" s="22"/>
      <x:c r="D19" s="22"/>
      <x:c r="E19" s="22"/>
      <x:c r="F19" s="22"/>
      <x:c r="G19" t="str">
        <x:f>IF(A19="","",E19*F19)</x:f>
      </x:c>
      <x:c r="H19" t="str">
        <x:f>IF(A19="","",IF(G19&gt;=16,"Critical",IF(G19&gt;=10,"High",IF(G19&gt;=5,"Medium","Low"))))</x:f>
      </x:c>
      <x:c r="I19" s="22"/>
      <x:c r="J19" s="22"/>
      <x:c r="K19" s="22"/>
      <x:c r="L19" s="24"/>
      <x:c r="M19" s="22"/>
      <x:c r="N19" s="24"/>
      <x:c r="O19" s="22"/>
      <x:c r="P19" s="22"/>
    </x:row>
    <x:row r="20" ht="23" customHeight="1">
      <x:c r="A20" s="22"/>
      <x:c r="B20" s="22"/>
      <x:c r="C20" s="22"/>
      <x:c r="D20" s="22"/>
      <x:c r="E20" s="22"/>
      <x:c r="F20" s="22"/>
      <x:c r="G20" t="str">
        <x:f>IF(A20="","",E20*F20)</x:f>
      </x:c>
      <x:c r="H20" t="str">
        <x:f>IF(A20="","",IF(G20&gt;=16,"Critical",IF(G20&gt;=10,"High",IF(G20&gt;=5,"Medium","Low"))))</x:f>
      </x:c>
      <x:c r="I20" s="22"/>
      <x:c r="J20" s="22"/>
      <x:c r="K20" s="22"/>
      <x:c r="L20" s="24"/>
      <x:c r="M20" s="22"/>
      <x:c r="N20" s="24"/>
      <x:c r="O20" s="22"/>
      <x:c r="P20" s="22"/>
    </x:row>
    <x:row r="21" ht="23" customHeight="1">
      <x:c r="A21" s="22"/>
      <x:c r="B21" s="22"/>
      <x:c r="C21" s="22"/>
      <x:c r="D21" s="22"/>
      <x:c r="E21" s="22"/>
      <x:c r="F21" s="22"/>
      <x:c r="G21" t="str">
        <x:f>IF(A21="","",E21*F21)</x:f>
      </x:c>
      <x:c r="H21" t="str">
        <x:f>IF(A21="","",IF(G21&gt;=16,"Critical",IF(G21&gt;=10,"High",IF(G21&gt;=5,"Medium","Low"))))</x:f>
      </x:c>
      <x:c r="I21" s="22"/>
      <x:c r="J21" s="22"/>
      <x:c r="K21" s="22"/>
      <x:c r="L21" s="24"/>
      <x:c r="M21" s="22"/>
      <x:c r="N21" s="24"/>
      <x:c r="O21" s="22"/>
      <x:c r="P21" s="22"/>
    </x:row>
    <x:row r="22" ht="23" customHeight="1">
      <x:c r="A22" s="22"/>
      <x:c r="B22" s="22"/>
      <x:c r="C22" s="22"/>
      <x:c r="D22" s="22"/>
      <x:c r="E22" s="22"/>
      <x:c r="F22" s="22"/>
      <x:c r="G22" t="str">
        <x:f>IF(A22="","",E22*F22)</x:f>
      </x:c>
      <x:c r="H22" t="str">
        <x:f>IF(A22="","",IF(G22&gt;=16,"Critical",IF(G22&gt;=10,"High",IF(G22&gt;=5,"Medium","Low"))))</x:f>
      </x:c>
      <x:c r="I22" s="22"/>
      <x:c r="J22" s="22"/>
      <x:c r="K22" s="22"/>
      <x:c r="L22" s="24"/>
      <x:c r="M22" s="22"/>
      <x:c r="N22" s="24"/>
      <x:c r="O22" s="22"/>
      <x:c r="P22" s="22"/>
    </x:row>
    <x:row r="23" ht="23" customHeight="1">
      <x:c r="A23" s="22"/>
      <x:c r="B23" s="22"/>
      <x:c r="C23" s="22"/>
      <x:c r="D23" s="22"/>
      <x:c r="E23" s="22"/>
      <x:c r="F23" s="22"/>
      <x:c r="G23" t="str">
        <x:f>IF(A23="","",E23*F23)</x:f>
      </x:c>
      <x:c r="H23" t="str">
        <x:f>IF(A23="","",IF(G23&gt;=16,"Critical",IF(G23&gt;=10,"High",IF(G23&gt;=5,"Medium","Low"))))</x:f>
      </x:c>
      <x:c r="I23" s="22"/>
      <x:c r="J23" s="22"/>
      <x:c r="K23" s="22"/>
      <x:c r="L23" s="24"/>
      <x:c r="M23" s="22"/>
      <x:c r="N23" s="24"/>
      <x:c r="O23" s="22"/>
      <x:c r="P23" s="22"/>
    </x:row>
    <x:row r="24" ht="23" customHeight="1">
      <x:c r="A24" s="22"/>
      <x:c r="B24" s="22"/>
      <x:c r="C24" s="22"/>
      <x:c r="D24" s="22"/>
      <x:c r="E24" s="22"/>
      <x:c r="F24" s="22"/>
      <x:c r="G24" t="str">
        <x:f>IF(A24="","",E24*F24)</x:f>
      </x:c>
      <x:c r="H24" t="str">
        <x:f>IF(A24="","",IF(G24&gt;=16,"Critical",IF(G24&gt;=10,"High",IF(G24&gt;=5,"Medium","Low"))))</x:f>
      </x:c>
      <x:c r="I24" s="22"/>
      <x:c r="J24" s="22"/>
      <x:c r="K24" s="22"/>
      <x:c r="L24" s="24"/>
      <x:c r="M24" s="22"/>
      <x:c r="N24" s="24"/>
      <x:c r="O24" s="22"/>
      <x:c r="P24" s="22"/>
    </x:row>
    <x:row r="25" ht="23" customHeight="1">
      <x:c r="A25" s="22"/>
      <x:c r="B25" s="22"/>
      <x:c r="C25" s="22"/>
      <x:c r="D25" s="22"/>
      <x:c r="E25" s="22"/>
      <x:c r="F25" s="22"/>
      <x:c r="G25" t="str">
        <x:f>IF(A25="","",E25*F25)</x:f>
      </x:c>
      <x:c r="H25" t="str">
        <x:f>IF(A25="","",IF(G25&gt;=16,"Critical",IF(G25&gt;=10,"High",IF(G25&gt;=5,"Medium","Low"))))</x:f>
      </x:c>
      <x:c r="I25" s="22"/>
      <x:c r="J25" s="22"/>
      <x:c r="K25" s="22"/>
      <x:c r="L25" s="24"/>
      <x:c r="M25" s="22"/>
      <x:c r="N25" s="24"/>
      <x:c r="O25" s="22"/>
      <x:c r="P25" s="22"/>
    </x:row>
    <x:row r="26" ht="23" customHeight="1">
      <x:c r="A26" s="22"/>
      <x:c r="B26" s="22"/>
      <x:c r="C26" s="22"/>
      <x:c r="D26" s="22"/>
      <x:c r="E26" s="22"/>
      <x:c r="F26" s="22"/>
      <x:c r="G26" t="str">
        <x:f>IF(A26="","",E26*F26)</x:f>
      </x:c>
      <x:c r="H26" t="str">
        <x:f>IF(A26="","",IF(G26&gt;=16,"Critical",IF(G26&gt;=10,"High",IF(G26&gt;=5,"Medium","Low"))))</x:f>
      </x:c>
      <x:c r="I26" s="22"/>
      <x:c r="J26" s="22"/>
      <x:c r="K26" s="22"/>
      <x:c r="L26" s="24"/>
      <x:c r="M26" s="22"/>
      <x:c r="N26" s="24"/>
      <x:c r="O26" s="22"/>
      <x:c r="P26" s="22"/>
    </x:row>
    <x:row r="27" ht="23" customHeight="1">
      <x:c r="A27" s="22"/>
      <x:c r="B27" s="22"/>
      <x:c r="C27" s="22"/>
      <x:c r="D27" s="22"/>
      <x:c r="E27" s="22"/>
      <x:c r="F27" s="22"/>
      <x:c r="G27" t="str">
        <x:f>IF(A27="","",E27*F27)</x:f>
      </x:c>
      <x:c r="H27" t="str">
        <x:f>IF(A27="","",IF(G27&gt;=16,"Critical",IF(G27&gt;=10,"High",IF(G27&gt;=5,"Medium","Low"))))</x:f>
      </x:c>
      <x:c r="I27" s="22"/>
      <x:c r="J27" s="22"/>
      <x:c r="K27" s="22"/>
      <x:c r="L27" s="24"/>
      <x:c r="M27" s="22"/>
      <x:c r="N27" s="24"/>
      <x:c r="O27" s="22"/>
      <x:c r="P27" s="22"/>
    </x:row>
    <x:row r="28" ht="23" customHeight="1">
      <x:c r="A28" s="22"/>
      <x:c r="B28" s="22"/>
      <x:c r="C28" s="22"/>
      <x:c r="D28" s="22"/>
      <x:c r="E28" s="22"/>
      <x:c r="F28" s="22"/>
      <x:c r="G28" t="str">
        <x:f>IF(A28="","",E28*F28)</x:f>
      </x:c>
      <x:c r="H28" t="str">
        <x:f>IF(A28="","",IF(G28&gt;=16,"Critical",IF(G28&gt;=10,"High",IF(G28&gt;=5,"Medium","Low"))))</x:f>
      </x:c>
      <x:c r="I28" s="22"/>
      <x:c r="J28" s="22"/>
      <x:c r="K28" s="22"/>
      <x:c r="L28" s="24"/>
      <x:c r="M28" s="22"/>
      <x:c r="N28" s="24"/>
      <x:c r="O28" s="22"/>
      <x:c r="P28" s="22"/>
    </x:row>
    <x:row r="29" ht="23" customHeight="1">
      <x:c r="A29" s="22"/>
      <x:c r="B29" s="22"/>
      <x:c r="C29" s="22"/>
      <x:c r="D29" s="22"/>
      <x:c r="E29" s="22"/>
      <x:c r="F29" s="22"/>
      <x:c r="G29" t="str">
        <x:f>IF(A29="","",E29*F29)</x:f>
      </x:c>
      <x:c r="H29" t="str">
        <x:f>IF(A29="","",IF(G29&gt;=16,"Critical",IF(G29&gt;=10,"High",IF(G29&gt;=5,"Medium","Low"))))</x:f>
      </x:c>
      <x:c r="I29" s="22"/>
      <x:c r="J29" s="22"/>
      <x:c r="K29" s="22"/>
      <x:c r="L29" s="24"/>
      <x:c r="M29" s="22"/>
      <x:c r="N29" s="24"/>
      <x:c r="O29" s="22"/>
      <x:c r="P29" s="22"/>
    </x:row>
    <x:row r="30" ht="23" customHeight="1">
      <x:c r="A30" s="22"/>
      <x:c r="B30" s="22"/>
      <x:c r="C30" s="22"/>
      <x:c r="D30" s="22"/>
      <x:c r="E30" s="22"/>
      <x:c r="F30" s="22"/>
      <x:c r="G30" t="str">
        <x:f>IF(A30="","",E30*F30)</x:f>
      </x:c>
      <x:c r="H30" t="str">
        <x:f>IF(A30="","",IF(G30&gt;=16,"Critical",IF(G30&gt;=10,"High",IF(G30&gt;=5,"Medium","Low"))))</x:f>
      </x:c>
      <x:c r="I30" s="22"/>
      <x:c r="J30" s="22"/>
      <x:c r="K30" s="22"/>
      <x:c r="L30" s="24"/>
      <x:c r="M30" s="22"/>
      <x:c r="N30" s="24"/>
      <x:c r="O30" s="22"/>
      <x:c r="P30" s="22"/>
    </x:row>
    <x:row r="31" ht="23" customHeight="1">
      <x:c r="A31" s="22"/>
      <x:c r="B31" s="22"/>
      <x:c r="C31" s="22"/>
      <x:c r="D31" s="22"/>
      <x:c r="E31" s="22"/>
      <x:c r="F31" s="22"/>
      <x:c r="G31" t="str">
        <x:f>IF(A31="","",E31*F31)</x:f>
      </x:c>
      <x:c r="H31" t="str">
        <x:f>IF(A31="","",IF(G31&gt;=16,"Critical",IF(G31&gt;=10,"High",IF(G31&gt;=5,"Medium","Low"))))</x:f>
      </x:c>
      <x:c r="I31" s="22"/>
      <x:c r="J31" s="22"/>
      <x:c r="K31" s="22"/>
      <x:c r="L31" s="24"/>
      <x:c r="M31" s="22"/>
      <x:c r="N31" s="24"/>
      <x:c r="O31" s="22"/>
      <x:c r="P31" s="22"/>
    </x:row>
    <x:row r="32" ht="23" customHeight="1">
      <x:c r="A32" s="22"/>
      <x:c r="B32" s="22"/>
      <x:c r="C32" s="22"/>
      <x:c r="D32" s="22"/>
      <x:c r="E32" s="22"/>
      <x:c r="F32" s="22"/>
      <x:c r="G32" t="str">
        <x:f>IF(A32="","",E32*F32)</x:f>
      </x:c>
      <x:c r="H32" t="str">
        <x:f>IF(A32="","",IF(G32&gt;=16,"Critical",IF(G32&gt;=10,"High",IF(G32&gt;=5,"Medium","Low"))))</x:f>
      </x:c>
      <x:c r="I32" s="22"/>
      <x:c r="J32" s="22"/>
      <x:c r="K32" s="22"/>
      <x:c r="L32" s="24"/>
      <x:c r="M32" s="22"/>
      <x:c r="N32" s="24"/>
      <x:c r="O32" s="22"/>
      <x:c r="P32" s="22"/>
    </x:row>
    <x:row r="33" ht="23" customHeight="1">
      <x:c r="A33" s="22"/>
      <x:c r="B33" s="22"/>
      <x:c r="C33" s="22"/>
      <x:c r="D33" s="22"/>
      <x:c r="E33" s="22"/>
      <x:c r="F33" s="22"/>
      <x:c r="G33" t="str">
        <x:f>IF(A33="","",E33*F33)</x:f>
      </x:c>
      <x:c r="H33" t="str">
        <x:f>IF(A33="","",IF(G33&gt;=16,"Critical",IF(G33&gt;=10,"High",IF(G33&gt;=5,"Medium","Low"))))</x:f>
      </x:c>
      <x:c r="I33" s="22"/>
      <x:c r="J33" s="22"/>
      <x:c r="K33" s="22"/>
      <x:c r="L33" s="24"/>
      <x:c r="M33" s="22"/>
      <x:c r="N33" s="24"/>
      <x:c r="O33" s="22"/>
      <x:c r="P33" s="22"/>
    </x:row>
    <x:row r="34" ht="23" customHeight="1">
      <x:c r="A34" s="22"/>
      <x:c r="B34" s="22"/>
      <x:c r="C34" s="22"/>
      <x:c r="D34" s="22"/>
      <x:c r="E34" s="22"/>
      <x:c r="F34" s="22"/>
      <x:c r="G34" t="str">
        <x:f>IF(A34="","",E34*F34)</x:f>
      </x:c>
      <x:c r="H34" t="str">
        <x:f>IF(A34="","",IF(G34&gt;=16,"Critical",IF(G34&gt;=10,"High",IF(G34&gt;=5,"Medium","Low"))))</x:f>
      </x:c>
      <x:c r="I34" s="22"/>
      <x:c r="J34" s="22"/>
      <x:c r="K34" s="22"/>
      <x:c r="L34" s="24"/>
      <x:c r="M34" s="22"/>
      <x:c r="N34" s="24"/>
      <x:c r="O34" s="22"/>
      <x:c r="P34" s="22"/>
    </x:row>
    <x:row r="35" ht="23" customHeight="1">
      <x:c r="A35" s="22"/>
      <x:c r="B35" s="22"/>
      <x:c r="C35" s="22"/>
      <x:c r="D35" s="22"/>
      <x:c r="E35" s="22"/>
      <x:c r="F35" s="22"/>
      <x:c r="G35" t="str">
        <x:f>IF(A35="","",E35*F35)</x:f>
      </x:c>
      <x:c r="H35" t="str">
        <x:f>IF(A35="","",IF(G35&gt;=16,"Critical",IF(G35&gt;=10,"High",IF(G35&gt;=5,"Medium","Low"))))</x:f>
      </x:c>
      <x:c r="I35" s="22"/>
      <x:c r="J35" s="22"/>
      <x:c r="K35" s="22"/>
      <x:c r="L35" s="24"/>
      <x:c r="M35" s="22"/>
      <x:c r="N35" s="24"/>
      <x:c r="O35" s="22"/>
      <x:c r="P35" s="22"/>
    </x:row>
    <x:row r="36" ht="23" customHeight="1">
      <x:c r="A36" s="22"/>
      <x:c r="B36" s="22"/>
      <x:c r="C36" s="22"/>
      <x:c r="D36" s="22"/>
      <x:c r="E36" s="22"/>
      <x:c r="F36" s="22"/>
      <x:c r="G36" t="str">
        <x:f>IF(A36="","",E36*F36)</x:f>
      </x:c>
      <x:c r="H36" t="str">
        <x:f>IF(A36="","",IF(G36&gt;=16,"Critical",IF(G36&gt;=10,"High",IF(G36&gt;=5,"Medium","Low"))))</x:f>
      </x:c>
      <x:c r="I36" s="22"/>
      <x:c r="J36" s="22"/>
      <x:c r="K36" s="22"/>
      <x:c r="L36" s="24"/>
      <x:c r="M36" s="22"/>
      <x:c r="N36" s="24"/>
      <x:c r="O36" s="22"/>
      <x:c r="P36" s="22"/>
    </x:row>
    <x:row r="37" ht="23" customHeight="1">
      <x:c r="A37" s="22"/>
      <x:c r="B37" s="22"/>
      <x:c r="C37" s="22"/>
      <x:c r="D37" s="22"/>
      <x:c r="E37" s="22"/>
      <x:c r="F37" s="22"/>
      <x:c r="G37" t="str">
        <x:f>IF(A37="","",E37*F37)</x:f>
      </x:c>
      <x:c r="H37" t="str">
        <x:f>IF(A37="","",IF(G37&gt;=16,"Critical",IF(G37&gt;=10,"High",IF(G37&gt;=5,"Medium","Low"))))</x:f>
      </x:c>
      <x:c r="I37" s="22"/>
      <x:c r="J37" s="22"/>
      <x:c r="K37" s="22"/>
      <x:c r="L37" s="24"/>
      <x:c r="M37" s="22"/>
      <x:c r="N37" s="24"/>
      <x:c r="O37" s="22"/>
      <x:c r="P37" s="22"/>
    </x:row>
    <x:row r="38" ht="23" customHeight="1">
      <x:c r="A38" s="22"/>
      <x:c r="B38" s="22"/>
      <x:c r="C38" s="22"/>
      <x:c r="D38" s="22"/>
      <x:c r="E38" s="22"/>
      <x:c r="F38" s="22"/>
      <x:c r="G38" t="str">
        <x:f>IF(A38="","",E38*F38)</x:f>
      </x:c>
      <x:c r="H38" t="str">
        <x:f>IF(A38="","",IF(G38&gt;=16,"Critical",IF(G38&gt;=10,"High",IF(G38&gt;=5,"Medium","Low"))))</x:f>
      </x:c>
      <x:c r="I38" s="22"/>
      <x:c r="J38" s="22"/>
      <x:c r="K38" s="22"/>
      <x:c r="L38" s="24"/>
      <x:c r="M38" s="22"/>
      <x:c r="N38" s="24"/>
      <x:c r="O38" s="22"/>
      <x:c r="P38" s="22"/>
    </x:row>
    <x:row r="39" ht="23" customHeight="1">
      <x:c r="A39" s="22"/>
      <x:c r="B39" s="22"/>
      <x:c r="C39" s="22"/>
      <x:c r="D39" s="22"/>
      <x:c r="E39" s="22"/>
      <x:c r="F39" s="22"/>
      <x:c r="G39" t="str">
        <x:f>IF(A39="","",E39*F39)</x:f>
      </x:c>
      <x:c r="H39" t="str">
        <x:f>IF(A39="","",IF(G39&gt;=16,"Critical",IF(G39&gt;=10,"High",IF(G39&gt;=5,"Medium","Low"))))</x:f>
      </x:c>
      <x:c r="I39" s="22"/>
      <x:c r="J39" s="22"/>
      <x:c r="K39" s="22"/>
      <x:c r="L39" s="24"/>
      <x:c r="M39" s="22"/>
      <x:c r="N39" s="24"/>
      <x:c r="O39" s="22"/>
      <x:c r="P39" s="22"/>
    </x:row>
    <x:row r="40" ht="23" customHeight="1">
      <x:c r="A40" s="22"/>
      <x:c r="B40" s="22"/>
      <x:c r="C40" s="22"/>
      <x:c r="D40" s="22"/>
      <x:c r="E40" s="22"/>
      <x:c r="F40" s="22"/>
      <x:c r="G40" t="str">
        <x:f>IF(A40="","",E40*F40)</x:f>
      </x:c>
      <x:c r="H40" t="str">
        <x:f>IF(A40="","",IF(G40&gt;=16,"Critical",IF(G40&gt;=10,"High",IF(G40&gt;=5,"Medium","Low"))))</x:f>
      </x:c>
      <x:c r="I40" s="22"/>
      <x:c r="J40" s="22"/>
      <x:c r="K40" s="22"/>
      <x:c r="L40" s="24"/>
      <x:c r="M40" s="22"/>
      <x:c r="N40" s="24"/>
      <x:c r="O40" s="22"/>
      <x:c r="P40" s="22"/>
    </x:row>
    <x:row r="41" ht="23" customHeight="1">
      <x:c r="A41" s="22"/>
      <x:c r="B41" s="22"/>
      <x:c r="C41" s="22"/>
      <x:c r="D41" s="22"/>
      <x:c r="E41" s="22"/>
      <x:c r="F41" s="22"/>
      <x:c r="G41" t="str">
        <x:f>IF(A41="","",E41*F41)</x:f>
      </x:c>
      <x:c r="H41" t="str">
        <x:f>IF(A41="","",IF(G41&gt;=16,"Critical",IF(G41&gt;=10,"High",IF(G41&gt;=5,"Medium","Low"))))</x:f>
      </x:c>
      <x:c r="I41" s="22"/>
      <x:c r="J41" s="22"/>
      <x:c r="K41" s="22"/>
      <x:c r="L41" s="24"/>
      <x:c r="M41" s="22"/>
      <x:c r="N41" s="24"/>
      <x:c r="O41" s="22"/>
      <x:c r="P41" s="22"/>
    </x:row>
    <x:row r="42" ht="23" customHeight="1">
      <x:c r="A42" s="22"/>
      <x:c r="B42" s="22"/>
      <x:c r="C42" s="22"/>
      <x:c r="D42" s="22"/>
      <x:c r="E42" s="22"/>
      <x:c r="F42" s="22"/>
      <x:c r="G42" t="str">
        <x:f>IF(A42="","",E42*F42)</x:f>
      </x:c>
      <x:c r="H42" t="str">
        <x:f>IF(A42="","",IF(G42&gt;=16,"Critical",IF(G42&gt;=10,"High",IF(G42&gt;=5,"Medium","Low"))))</x:f>
      </x:c>
      <x:c r="I42" s="22"/>
      <x:c r="J42" s="22"/>
      <x:c r="K42" s="22"/>
      <x:c r="L42" s="24"/>
      <x:c r="M42" s="22"/>
      <x:c r="N42" s="24"/>
      <x:c r="O42" s="22"/>
      <x:c r="P42" s="22"/>
    </x:row>
    <x:row r="43" ht="23" customHeight="1">
      <x:c r="A43" s="22"/>
      <x:c r="B43" s="22"/>
      <x:c r="C43" s="22"/>
      <x:c r="D43" s="22"/>
      <x:c r="E43" s="22"/>
      <x:c r="F43" s="22"/>
      <x:c r="G43" t="str">
        <x:f>IF(A43="","",E43*F43)</x:f>
      </x:c>
      <x:c r="H43" t="str">
        <x:f>IF(A43="","",IF(G43&gt;=16,"Critical",IF(G43&gt;=10,"High",IF(G43&gt;=5,"Medium","Low"))))</x:f>
      </x:c>
      <x:c r="I43" s="22"/>
      <x:c r="J43" s="22"/>
      <x:c r="K43" s="22"/>
      <x:c r="L43" s="24"/>
      <x:c r="M43" s="22"/>
      <x:c r="N43" s="24"/>
      <x:c r="O43" s="22"/>
      <x:c r="P43" s="22"/>
    </x:row>
    <x:row r="44" ht="23" customHeight="1">
      <x:c r="A44" s="22"/>
      <x:c r="B44" s="22"/>
      <x:c r="C44" s="22"/>
      <x:c r="D44" s="22"/>
      <x:c r="E44" s="22"/>
      <x:c r="F44" s="22"/>
      <x:c r="G44" t="str">
        <x:f>IF(A44="","",E44*F44)</x:f>
      </x:c>
      <x:c r="H44" t="str">
        <x:f>IF(A44="","",IF(G44&gt;=16,"Critical",IF(G44&gt;=10,"High",IF(G44&gt;=5,"Medium","Low"))))</x:f>
      </x:c>
      <x:c r="I44" s="22"/>
      <x:c r="J44" s="22"/>
      <x:c r="K44" s="22"/>
      <x:c r="L44" s="24"/>
      <x:c r="M44" s="22"/>
      <x:c r="N44" s="24"/>
      <x:c r="O44" s="22"/>
      <x:c r="P44" s="22"/>
    </x:row>
    <x:row r="45" ht="23" customHeight="1">
      <x:c r="A45" s="22"/>
      <x:c r="B45" s="22"/>
      <x:c r="C45" s="22"/>
      <x:c r="D45" s="22"/>
      <x:c r="E45" s="22"/>
      <x:c r="F45" s="22"/>
      <x:c r="G45" t="str">
        <x:f>IF(A45="","",E45*F45)</x:f>
      </x:c>
      <x:c r="H45" t="str">
        <x:f>IF(A45="","",IF(G45&gt;=16,"Critical",IF(G45&gt;=10,"High",IF(G45&gt;=5,"Medium","Low"))))</x:f>
      </x:c>
      <x:c r="I45" s="22"/>
      <x:c r="J45" s="22"/>
      <x:c r="K45" s="22"/>
      <x:c r="L45" s="24"/>
      <x:c r="M45" s="22"/>
      <x:c r="N45" s="24"/>
      <x:c r="O45" s="22"/>
      <x:c r="P45" s="22"/>
    </x:row>
    <x:row r="46" ht="23" customHeight="1">
      <x:c r="A46" s="22"/>
      <x:c r="B46" s="22"/>
      <x:c r="C46" s="22"/>
      <x:c r="D46" s="22"/>
      <x:c r="E46" s="22"/>
      <x:c r="F46" s="22"/>
      <x:c r="G46" t="str">
        <x:f>IF(A46="","",E46*F46)</x:f>
      </x:c>
      <x:c r="H46" t="str">
        <x:f>IF(A46="","",IF(G46&gt;=16,"Critical",IF(G46&gt;=10,"High",IF(G46&gt;=5,"Medium","Low"))))</x:f>
      </x:c>
      <x:c r="I46" s="22"/>
      <x:c r="J46" s="22"/>
      <x:c r="K46" s="22"/>
      <x:c r="L46" s="24"/>
      <x:c r="M46" s="22"/>
      <x:c r="N46" s="24"/>
      <x:c r="O46" s="22"/>
      <x:c r="P46" s="22"/>
    </x:row>
    <x:row r="47" ht="23" customHeight="1">
      <x:c r="A47" s="22"/>
      <x:c r="B47" s="22"/>
      <x:c r="C47" s="22"/>
      <x:c r="D47" s="22"/>
      <x:c r="E47" s="22"/>
      <x:c r="F47" s="22"/>
      <x:c r="G47" t="str">
        <x:f>IF(A47="","",E47*F47)</x:f>
      </x:c>
      <x:c r="H47" t="str">
        <x:f>IF(A47="","",IF(G47&gt;=16,"Critical",IF(G47&gt;=10,"High",IF(G47&gt;=5,"Medium","Low"))))</x:f>
      </x:c>
      <x:c r="I47" s="22"/>
      <x:c r="J47" s="22"/>
      <x:c r="K47" s="22"/>
      <x:c r="L47" s="24"/>
      <x:c r="M47" s="22"/>
      <x:c r="N47" s="24"/>
      <x:c r="O47" s="22"/>
      <x:c r="P47" s="22"/>
    </x:row>
    <x:row r="48" ht="23" customHeight="1">
      <x:c r="A48" s="22"/>
      <x:c r="B48" s="22"/>
      <x:c r="C48" s="22"/>
      <x:c r="D48" s="22"/>
      <x:c r="E48" s="22"/>
      <x:c r="F48" s="22"/>
      <x:c r="G48" t="str">
        <x:f>IF(A48="","",E48*F48)</x:f>
      </x:c>
      <x:c r="H48" t="str">
        <x:f>IF(A48="","",IF(G48&gt;=16,"Critical",IF(G48&gt;=10,"High",IF(G48&gt;=5,"Medium","Low"))))</x:f>
      </x:c>
      <x:c r="I48" s="22"/>
      <x:c r="J48" s="22"/>
      <x:c r="K48" s="22"/>
      <x:c r="L48" s="24"/>
      <x:c r="M48" s="22"/>
      <x:c r="N48" s="24"/>
      <x:c r="O48" s="22"/>
      <x:c r="P48" s="22"/>
    </x:row>
    <x:row r="49" ht="23" customHeight="1">
      <x:c r="A49" s="22"/>
      <x:c r="B49" s="22"/>
      <x:c r="C49" s="22"/>
      <x:c r="D49" s="22"/>
      <x:c r="E49" s="22"/>
      <x:c r="F49" s="22"/>
      <x:c r="G49" t="str">
        <x:f>IF(A49="","",E49*F49)</x:f>
      </x:c>
      <x:c r="H49" t="str">
        <x:f>IF(A49="","",IF(G49&gt;=16,"Critical",IF(G49&gt;=10,"High",IF(G49&gt;=5,"Medium","Low"))))</x:f>
      </x:c>
      <x:c r="I49" s="22"/>
      <x:c r="J49" s="22"/>
      <x:c r="K49" s="22"/>
      <x:c r="L49" s="24"/>
      <x:c r="M49" s="22"/>
      <x:c r="N49" s="24"/>
      <x:c r="O49" s="22"/>
      <x:c r="P49" s="22"/>
    </x:row>
    <x:row r="50" ht="23" customHeight="1">
      <x:c r="A50" s="22"/>
      <x:c r="B50" s="22"/>
      <x:c r="C50" s="22"/>
      <x:c r="D50" s="22"/>
      <x:c r="E50" s="22"/>
      <x:c r="F50" s="22"/>
      <x:c r="G50" t="str">
        <x:f>IF(A50="","",E50*F50)</x:f>
      </x:c>
      <x:c r="H50" t="str">
        <x:f>IF(A50="","",IF(G50&gt;=16,"Critical",IF(G50&gt;=10,"High",IF(G50&gt;=5,"Medium","Low"))))</x:f>
      </x:c>
      <x:c r="I50" s="22"/>
      <x:c r="J50" s="22"/>
      <x:c r="K50" s="22"/>
      <x:c r="L50" s="24"/>
      <x:c r="M50" s="22"/>
      <x:c r="N50" s="24"/>
      <x:c r="O50" s="22"/>
      <x:c r="P50" s="22"/>
    </x:row>
    <x:row r="51" ht="23" customHeight="1">
      <x:c r="A51" s="22"/>
      <x:c r="B51" s="22"/>
      <x:c r="C51" s="22"/>
      <x:c r="D51" s="22"/>
      <x:c r="E51" s="22"/>
      <x:c r="F51" s="22"/>
      <x:c r="G51" t="str">
        <x:f>IF(A51="","",E51*F51)</x:f>
      </x:c>
      <x:c r="H51" t="str">
        <x:f>IF(A51="","",IF(G51&gt;=16,"Critical",IF(G51&gt;=10,"High",IF(G51&gt;=5,"Medium","Low"))))</x:f>
      </x:c>
      <x:c r="I51" s="22"/>
      <x:c r="J51" s="22"/>
      <x:c r="K51" s="22"/>
      <x:c r="L51" s="24"/>
      <x:c r="M51" s="22"/>
      <x:c r="N51" s="24"/>
      <x:c r="O51" s="22"/>
      <x:c r="P51" s="22"/>
    </x:row>
    <x:row r="52" ht="23" customHeight="1">
      <x:c r="A52" s="22"/>
      <x:c r="B52" s="22"/>
      <x:c r="C52" s="22"/>
      <x:c r="D52" s="22"/>
      <x:c r="E52" s="22"/>
      <x:c r="F52" s="22"/>
      <x:c r="G52" t="str">
        <x:f>IF(A52="","",E52*F52)</x:f>
      </x:c>
      <x:c r="H52" t="str">
        <x:f>IF(A52="","",IF(G52&gt;=16,"Critical",IF(G52&gt;=10,"High",IF(G52&gt;=5,"Medium","Low"))))</x:f>
      </x:c>
      <x:c r="I52" s="22"/>
      <x:c r="J52" s="22"/>
      <x:c r="K52" s="22"/>
      <x:c r="L52" s="24"/>
      <x:c r="M52" s="22"/>
      <x:c r="N52" s="24"/>
      <x:c r="O52" s="22"/>
      <x:c r="P52" s="22"/>
    </x:row>
    <x:row r="53" ht="23" customHeight="1">
      <x:c r="A53" s="22"/>
      <x:c r="B53" s="22"/>
      <x:c r="C53" s="22"/>
      <x:c r="D53" s="22"/>
      <x:c r="E53" s="22"/>
      <x:c r="F53" s="22"/>
      <x:c r="G53" t="str">
        <x:f>IF(A53="","",E53*F53)</x:f>
      </x:c>
      <x:c r="H53" t="str">
        <x:f>IF(A53="","",IF(G53&gt;=16,"Critical",IF(G53&gt;=10,"High",IF(G53&gt;=5,"Medium","Low"))))</x:f>
      </x:c>
      <x:c r="I53" s="22"/>
      <x:c r="J53" s="22"/>
      <x:c r="K53" s="22"/>
      <x:c r="L53" s="24"/>
      <x:c r="M53" s="22"/>
      <x:c r="N53" s="24"/>
      <x:c r="O53" s="22"/>
      <x:c r="P53" s="22"/>
    </x:row>
    <x:row r="54" ht="23" customHeight="1">
      <x:c r="A54" s="22"/>
      <x:c r="B54" s="22"/>
      <x:c r="C54" s="22"/>
      <x:c r="D54" s="22"/>
      <x:c r="E54" s="22"/>
      <x:c r="F54" s="22"/>
      <x:c r="G54" t="str">
        <x:f>IF(A54="","",E54*F54)</x:f>
      </x:c>
      <x:c r="H54" t="str">
        <x:f>IF(A54="","",IF(G54&gt;=16,"Critical",IF(G54&gt;=10,"High",IF(G54&gt;=5,"Medium","Low"))))</x:f>
      </x:c>
      <x:c r="I54" s="22"/>
      <x:c r="J54" s="22"/>
      <x:c r="K54" s="22"/>
      <x:c r="L54" s="24"/>
      <x:c r="M54" s="22"/>
      <x:c r="N54" s="24"/>
      <x:c r="O54" s="22"/>
      <x:c r="P54" s="22"/>
    </x:row>
    <x:row r="55" ht="23" customHeight="1">
      <x:c r="A55" s="22"/>
      <x:c r="B55" s="22"/>
      <x:c r="C55" s="22"/>
      <x:c r="D55" s="22"/>
      <x:c r="E55" s="22"/>
      <x:c r="F55" s="22"/>
      <x:c r="G55" t="str">
        <x:f>IF(A55="","",E55*F55)</x:f>
      </x:c>
      <x:c r="H55" t="str">
        <x:f>IF(A55="","",IF(G55&gt;=16,"Critical",IF(G55&gt;=10,"High",IF(G55&gt;=5,"Medium","Low"))))</x:f>
      </x:c>
      <x:c r="I55" s="22"/>
      <x:c r="J55" s="22"/>
      <x:c r="K55" s="22"/>
      <x:c r="L55" s="24"/>
      <x:c r="M55" s="22"/>
      <x:c r="N55" s="24"/>
      <x:c r="O55" s="22"/>
      <x:c r="P55" s="22"/>
    </x:row>
    <x:row r="56" ht="23" customHeight="1">
      <x:c r="A56" s="22"/>
      <x:c r="B56" s="22"/>
      <x:c r="C56" s="22"/>
      <x:c r="D56" s="22"/>
      <x:c r="E56" s="22"/>
      <x:c r="F56" s="22"/>
      <x:c r="G56" t="str">
        <x:f>IF(A56="","",E56*F56)</x:f>
      </x:c>
      <x:c r="H56" t="str">
        <x:f>IF(A56="","",IF(G56&gt;=16,"Critical",IF(G56&gt;=10,"High",IF(G56&gt;=5,"Medium","Low"))))</x:f>
      </x:c>
      <x:c r="I56" s="22"/>
      <x:c r="J56" s="22"/>
      <x:c r="K56" s="22"/>
      <x:c r="L56" s="24"/>
      <x:c r="M56" s="22"/>
      <x:c r="N56" s="24"/>
      <x:c r="O56" s="22"/>
      <x:c r="P56" s="22"/>
    </x:row>
    <x:row r="57" ht="23" customHeight="1">
      <x:c r="A57" s="22"/>
      <x:c r="B57" s="22"/>
      <x:c r="C57" s="22"/>
      <x:c r="D57" s="22"/>
      <x:c r="E57" s="22"/>
      <x:c r="F57" s="22"/>
      <x:c r="G57" t="str">
        <x:f>IF(A57="","",E57*F57)</x:f>
      </x:c>
      <x:c r="H57" t="str">
        <x:f>IF(A57="","",IF(G57&gt;=16,"Critical",IF(G57&gt;=10,"High",IF(G57&gt;=5,"Medium","Low"))))</x:f>
      </x:c>
      <x:c r="I57" s="22"/>
      <x:c r="J57" s="22"/>
      <x:c r="K57" s="22"/>
      <x:c r="L57" s="24"/>
      <x:c r="M57" s="22"/>
      <x:c r="N57" s="24"/>
      <x:c r="O57" s="22"/>
      <x:c r="P57" s="22"/>
    </x:row>
    <x:row r="58" ht="23" customHeight="1">
      <x:c r="A58" s="22"/>
      <x:c r="B58" s="22"/>
      <x:c r="C58" s="22"/>
      <x:c r="D58" s="22"/>
      <x:c r="E58" s="22"/>
      <x:c r="F58" s="22"/>
      <x:c r="G58" t="str">
        <x:f>IF(A58="","",E58*F58)</x:f>
      </x:c>
      <x:c r="H58" t="str">
        <x:f>IF(A58="","",IF(G58&gt;=16,"Critical",IF(G58&gt;=10,"High",IF(G58&gt;=5,"Medium","Low"))))</x:f>
      </x:c>
      <x:c r="I58" s="22"/>
      <x:c r="J58" s="22"/>
      <x:c r="K58" s="22"/>
      <x:c r="L58" s="24"/>
      <x:c r="M58" s="22"/>
      <x:c r="N58" s="24"/>
      <x:c r="O58" s="22"/>
      <x:c r="P58" s="22"/>
    </x:row>
    <x:row r="59" ht="23" customHeight="1">
      <x:c r="A59" s="22"/>
      <x:c r="B59" s="22"/>
      <x:c r="C59" s="22"/>
      <x:c r="D59" s="22"/>
      <x:c r="E59" s="22"/>
      <x:c r="F59" s="22"/>
      <x:c r="G59" t="str">
        <x:f>IF(A59="","",E59*F59)</x:f>
      </x:c>
      <x:c r="H59" t="str">
        <x:f>IF(A59="","",IF(G59&gt;=16,"Critical",IF(G59&gt;=10,"High",IF(G59&gt;=5,"Medium","Low"))))</x:f>
      </x:c>
      <x:c r="I59" s="22"/>
      <x:c r="J59" s="22"/>
      <x:c r="K59" s="22"/>
      <x:c r="L59" s="24"/>
      <x:c r="M59" s="22"/>
      <x:c r="N59" s="24"/>
      <x:c r="O59" s="22"/>
      <x:c r="P59" s="22"/>
    </x:row>
    <x:row r="60" ht="23" customHeight="1">
      <x:c r="A60" s="22"/>
      <x:c r="B60" s="22"/>
      <x:c r="C60" s="22"/>
      <x:c r="D60" s="22"/>
      <x:c r="E60" s="22"/>
      <x:c r="F60" s="22"/>
      <x:c r="G60" t="str">
        <x:f>IF(A60="","",E60*F60)</x:f>
      </x:c>
      <x:c r="H60" t="str">
        <x:f>IF(A60="","",IF(G60&gt;=16,"Critical",IF(G60&gt;=10,"High",IF(G60&gt;=5,"Medium","Low"))))</x:f>
      </x:c>
      <x:c r="I60" s="22"/>
      <x:c r="J60" s="22"/>
      <x:c r="K60" s="22"/>
      <x:c r="L60" s="24"/>
      <x:c r="M60" s="22"/>
      <x:c r="N60" s="24"/>
      <x:c r="O60" s="22"/>
      <x:c r="P60" s="22"/>
    </x:row>
    <x:row r="61" ht="23" customHeight="1">
      <x:c r="A61" s="22"/>
      <x:c r="B61" s="22"/>
      <x:c r="C61" s="22"/>
      <x:c r="D61" s="22"/>
      <x:c r="E61" s="22"/>
      <x:c r="F61" s="22"/>
      <x:c r="G61" t="str">
        <x:f>IF(A61="","",E61*F61)</x:f>
      </x:c>
      <x:c r="H61" t="str">
        <x:f>IF(A61="","",IF(G61&gt;=16,"Critical",IF(G61&gt;=10,"High",IF(G61&gt;=5,"Medium","Low"))))</x:f>
      </x:c>
      <x:c r="I61" s="22"/>
      <x:c r="J61" s="22"/>
      <x:c r="K61" s="22"/>
      <x:c r="L61" s="24"/>
      <x:c r="M61" s="22"/>
      <x:c r="N61" s="24"/>
      <x:c r="O61" s="22"/>
      <x:c r="P61" s="22"/>
    </x:row>
    <x:row r="62" ht="23" customHeight="1">
      <x:c r="A62" s="22"/>
      <x:c r="B62" s="22"/>
      <x:c r="C62" s="22"/>
      <x:c r="D62" s="22"/>
      <x:c r="E62" s="22"/>
      <x:c r="F62" s="22"/>
      <x:c r="G62" t="str">
        <x:f>IF(A62="","",E62*F62)</x:f>
      </x:c>
      <x:c r="H62" t="str">
        <x:f>IF(A62="","",IF(G62&gt;=16,"Critical",IF(G62&gt;=10,"High",IF(G62&gt;=5,"Medium","Low"))))</x:f>
      </x:c>
      <x:c r="I62" s="22"/>
      <x:c r="J62" s="22"/>
      <x:c r="K62" s="22"/>
      <x:c r="L62" s="24"/>
      <x:c r="M62" s="22"/>
      <x:c r="N62" s="24"/>
      <x:c r="O62" s="22"/>
      <x:c r="P62" s="22"/>
    </x:row>
    <x:row r="63" ht="23" customHeight="1">
      <x:c r="A63" s="22"/>
      <x:c r="B63" s="22"/>
      <x:c r="C63" s="22"/>
      <x:c r="D63" s="22"/>
      <x:c r="E63" s="22"/>
      <x:c r="F63" s="22"/>
      <x:c r="G63" t="str">
        <x:f>IF(A63="","",E63*F63)</x:f>
      </x:c>
      <x:c r="H63" t="str">
        <x:f>IF(A63="","",IF(G63&gt;=16,"Critical",IF(G63&gt;=10,"High",IF(G63&gt;=5,"Medium","Low"))))</x:f>
      </x:c>
      <x:c r="I63" s="22"/>
      <x:c r="J63" s="22"/>
      <x:c r="K63" s="22"/>
      <x:c r="L63" s="24"/>
      <x:c r="M63" s="22"/>
      <x:c r="N63" s="24"/>
      <x:c r="O63" s="22"/>
      <x:c r="P63" s="22"/>
    </x:row>
    <x:row r="64" ht="23" customHeight="1">
      <x:c r="A64" s="22"/>
      <x:c r="B64" s="22"/>
      <x:c r="C64" s="22"/>
      <x:c r="D64" s="22"/>
      <x:c r="E64" s="22"/>
      <x:c r="F64" s="22"/>
      <x:c r="G64" t="str">
        <x:f>IF(A64="","",E64*F64)</x:f>
      </x:c>
      <x:c r="H64" t="str">
        <x:f>IF(A64="","",IF(G64&gt;=16,"Critical",IF(G64&gt;=10,"High",IF(G64&gt;=5,"Medium","Low"))))</x:f>
      </x:c>
      <x:c r="I64" s="22"/>
      <x:c r="J64" s="22"/>
      <x:c r="K64" s="22"/>
      <x:c r="L64" s="24"/>
      <x:c r="M64" s="22"/>
      <x:c r="N64" s="24"/>
      <x:c r="O64" s="22"/>
      <x:c r="P64" s="22"/>
    </x:row>
    <x:row r="65" ht="23" customHeight="1">
      <x:c r="A65" s="22"/>
      <x:c r="B65" s="22"/>
      <x:c r="C65" s="22"/>
      <x:c r="D65" s="22"/>
      <x:c r="E65" s="22"/>
      <x:c r="F65" s="22"/>
      <x:c r="G65" t="str">
        <x:f>IF(A65="","",E65*F65)</x:f>
      </x:c>
      <x:c r="H65" t="str">
        <x:f>IF(A65="","",IF(G65&gt;=16,"Critical",IF(G65&gt;=10,"High",IF(G65&gt;=5,"Medium","Low"))))</x:f>
      </x:c>
      <x:c r="I65" s="22"/>
      <x:c r="J65" s="22"/>
      <x:c r="K65" s="22"/>
      <x:c r="L65" s="24"/>
      <x:c r="M65" s="22"/>
      <x:c r="N65" s="24"/>
      <x:c r="O65" s="22"/>
      <x:c r="P65" s="22"/>
    </x:row>
    <x:row r="66" ht="23" customHeight="1">
      <x:c r="A66" s="22"/>
      <x:c r="B66" s="22"/>
      <x:c r="C66" s="22"/>
      <x:c r="D66" s="22"/>
      <x:c r="E66" s="22"/>
      <x:c r="F66" s="22"/>
      <x:c r="G66" t="str">
        <x:f>IF(A66="","",E66*F66)</x:f>
      </x:c>
      <x:c r="H66" t="str">
        <x:f>IF(A66="","",IF(G66&gt;=16,"Critical",IF(G66&gt;=10,"High",IF(G66&gt;=5,"Medium","Low"))))</x:f>
      </x:c>
      <x:c r="I66" s="22"/>
      <x:c r="J66" s="22"/>
      <x:c r="K66" s="22"/>
      <x:c r="L66" s="24"/>
      <x:c r="M66" s="22"/>
      <x:c r="N66" s="24"/>
      <x:c r="O66" s="22"/>
      <x:c r="P66" s="22"/>
    </x:row>
    <x:row r="67" ht="23" customHeight="1">
      <x:c r="A67" s="22"/>
      <x:c r="B67" s="22"/>
      <x:c r="C67" s="22"/>
      <x:c r="D67" s="22"/>
      <x:c r="E67" s="22"/>
      <x:c r="F67" s="22"/>
      <x:c r="G67" t="str">
        <x:f>IF(A67="","",E67*F67)</x:f>
      </x:c>
      <x:c r="H67" t="str">
        <x:f>IF(A67="","",IF(G67&gt;=16,"Critical",IF(G67&gt;=10,"High",IF(G67&gt;=5,"Medium","Low"))))</x:f>
      </x:c>
      <x:c r="I67" s="22"/>
      <x:c r="J67" s="22"/>
      <x:c r="K67" s="22"/>
      <x:c r="L67" s="24"/>
      <x:c r="M67" s="22"/>
      <x:c r="N67" s="24"/>
      <x:c r="O67" s="22"/>
      <x:c r="P67" s="22"/>
    </x:row>
    <x:row r="68" ht="23" customHeight="1">
      <x:c r="A68" s="22"/>
      <x:c r="B68" s="22"/>
      <x:c r="C68" s="22"/>
      <x:c r="D68" s="22"/>
      <x:c r="E68" s="22"/>
      <x:c r="F68" s="22"/>
      <x:c r="G68" t="str">
        <x:f>IF(A68="","",E68*F68)</x:f>
      </x:c>
      <x:c r="H68" t="str">
        <x:f>IF(A68="","",IF(G68&gt;=16,"Critical",IF(G68&gt;=10,"High",IF(G68&gt;=5,"Medium","Low"))))</x:f>
      </x:c>
      <x:c r="I68" s="22"/>
      <x:c r="J68" s="22"/>
      <x:c r="K68" s="22"/>
      <x:c r="L68" s="24"/>
      <x:c r="M68" s="22"/>
      <x:c r="N68" s="24"/>
      <x:c r="O68" s="22"/>
      <x:c r="P68" s="22"/>
    </x:row>
    <x:row r="69" ht="23" customHeight="1">
      <x:c r="A69" s="22"/>
      <x:c r="B69" s="22"/>
      <x:c r="C69" s="22"/>
      <x:c r="D69" s="22"/>
      <x:c r="E69" s="22"/>
      <x:c r="F69" s="22"/>
      <x:c r="G69" t="str">
        <x:f>IF(A69="","",E69*F69)</x:f>
      </x:c>
      <x:c r="H69" t="str">
        <x:f>IF(A69="","",IF(G69&gt;=16,"Critical",IF(G69&gt;=10,"High",IF(G69&gt;=5,"Medium","Low"))))</x:f>
      </x:c>
      <x:c r="I69" s="22"/>
      <x:c r="J69" s="22"/>
      <x:c r="K69" s="22"/>
      <x:c r="L69" s="24"/>
      <x:c r="M69" s="22"/>
      <x:c r="N69" s="24"/>
      <x:c r="O69" s="22"/>
      <x:c r="P69" s="22"/>
    </x:row>
    <x:row r="70" ht="23" customHeight="1">
      <x:c r="A70" s="22"/>
      <x:c r="B70" s="22"/>
      <x:c r="C70" s="22"/>
      <x:c r="D70" s="22"/>
      <x:c r="E70" s="22"/>
      <x:c r="F70" s="22"/>
      <x:c r="G70" t="str">
        <x:f>IF(A70="","",E70*F70)</x:f>
      </x:c>
      <x:c r="H70" t="str">
        <x:f>IF(A70="","",IF(G70&gt;=16,"Critical",IF(G70&gt;=10,"High",IF(G70&gt;=5,"Medium","Low"))))</x:f>
      </x:c>
      <x:c r="I70" s="22"/>
      <x:c r="J70" s="22"/>
      <x:c r="K70" s="22"/>
      <x:c r="L70" s="24"/>
      <x:c r="M70" s="22"/>
      <x:c r="N70" s="24"/>
      <x:c r="O70" s="22"/>
      <x:c r="P70" s="22"/>
    </x:row>
    <x:row r="71" ht="23" customHeight="1">
      <x:c r="A71" s="22"/>
      <x:c r="B71" s="22"/>
      <x:c r="C71" s="22"/>
      <x:c r="D71" s="22"/>
      <x:c r="E71" s="22"/>
      <x:c r="F71" s="22"/>
      <x:c r="G71" t="str">
        <x:f>IF(A71="","",E71*F71)</x:f>
      </x:c>
      <x:c r="H71" t="str">
        <x:f>IF(A71="","",IF(G71&gt;=16,"Critical",IF(G71&gt;=10,"High",IF(G71&gt;=5,"Medium","Low"))))</x:f>
      </x:c>
      <x:c r="I71" s="22"/>
      <x:c r="J71" s="22"/>
      <x:c r="K71" s="22"/>
      <x:c r="L71" s="24"/>
      <x:c r="M71" s="22"/>
      <x:c r="N71" s="24"/>
      <x:c r="O71" s="22"/>
      <x:c r="P71" s="22"/>
    </x:row>
    <x:row r="72" ht="23" customHeight="1">
      <x:c r="A72" s="22"/>
      <x:c r="B72" s="22"/>
      <x:c r="C72" s="22"/>
      <x:c r="D72" s="22"/>
      <x:c r="E72" s="22"/>
      <x:c r="F72" s="22"/>
      <x:c r="G72" t="str">
        <x:f>IF(A72="","",E72*F72)</x:f>
      </x:c>
      <x:c r="H72" t="str">
        <x:f>IF(A72="","",IF(G72&gt;=16,"Critical",IF(G72&gt;=10,"High",IF(G72&gt;=5,"Medium","Low"))))</x:f>
      </x:c>
      <x:c r="I72" s="22"/>
      <x:c r="J72" s="22"/>
      <x:c r="K72" s="22"/>
      <x:c r="L72" s="24"/>
      <x:c r="M72" s="22"/>
      <x:c r="N72" s="24"/>
      <x:c r="O72" s="22"/>
      <x:c r="P72" s="22"/>
    </x:row>
    <x:row r="73" ht="23" customHeight="1">
      <x:c r="A73" s="22"/>
      <x:c r="B73" s="22"/>
      <x:c r="C73" s="22"/>
      <x:c r="D73" s="22"/>
      <x:c r="E73" s="22"/>
      <x:c r="F73" s="22"/>
      <x:c r="G73" t="str">
        <x:f>IF(A73="","",E73*F73)</x:f>
      </x:c>
      <x:c r="H73" t="str">
        <x:f>IF(A73="","",IF(G73&gt;=16,"Critical",IF(G73&gt;=10,"High",IF(G73&gt;=5,"Medium","Low"))))</x:f>
      </x:c>
      <x:c r="I73" s="22"/>
      <x:c r="J73" s="22"/>
      <x:c r="K73" s="22"/>
      <x:c r="L73" s="24"/>
      <x:c r="M73" s="22"/>
      <x:c r="N73" s="24"/>
      <x:c r="O73" s="22"/>
      <x:c r="P73" s="22"/>
    </x:row>
    <x:row r="74" ht="23" customHeight="1">
      <x:c r="A74" s="22"/>
      <x:c r="B74" s="22"/>
      <x:c r="C74" s="22"/>
      <x:c r="D74" s="22"/>
      <x:c r="E74" s="22"/>
      <x:c r="F74" s="22"/>
      <x:c r="G74" t="str">
        <x:f>IF(A74="","",E74*F74)</x:f>
      </x:c>
      <x:c r="H74" t="str">
        <x:f>IF(A74="","",IF(G74&gt;=16,"Critical",IF(G74&gt;=10,"High",IF(G74&gt;=5,"Medium","Low"))))</x:f>
      </x:c>
      <x:c r="I74" s="22"/>
      <x:c r="J74" s="22"/>
      <x:c r="K74" s="22"/>
      <x:c r="L74" s="24"/>
      <x:c r="M74" s="22"/>
      <x:c r="N74" s="24"/>
      <x:c r="O74" s="22"/>
      <x:c r="P74" s="22"/>
    </x:row>
    <x:row r="75" ht="23" customHeight="1">
      <x:c r="A75" s="22"/>
      <x:c r="B75" s="22"/>
      <x:c r="C75" s="22"/>
      <x:c r="D75" s="22"/>
      <x:c r="E75" s="22"/>
      <x:c r="F75" s="22"/>
      <x:c r="G75" t="str">
        <x:f>IF(A75="","",E75*F75)</x:f>
      </x:c>
      <x:c r="H75" t="str">
        <x:f>IF(A75="","",IF(G75&gt;=16,"Critical",IF(G75&gt;=10,"High",IF(G75&gt;=5,"Medium","Low"))))</x:f>
      </x:c>
      <x:c r="I75" s="22"/>
      <x:c r="J75" s="22"/>
      <x:c r="K75" s="22"/>
      <x:c r="L75" s="24"/>
      <x:c r="M75" s="22"/>
      <x:c r="N75" s="24"/>
      <x:c r="O75" s="22"/>
      <x:c r="P75" s="22"/>
    </x:row>
    <x:row r="76" ht="23" customHeight="1">
      <x:c r="A76" s="22"/>
      <x:c r="B76" s="22"/>
      <x:c r="C76" s="22"/>
      <x:c r="D76" s="22"/>
      <x:c r="E76" s="22"/>
      <x:c r="F76" s="22"/>
      <x:c r="G76" t="str">
        <x:f>IF(A76="","",E76*F76)</x:f>
      </x:c>
      <x:c r="H76" t="str">
        <x:f>IF(A76="","",IF(G76&gt;=16,"Critical",IF(G76&gt;=10,"High",IF(G76&gt;=5,"Medium","Low"))))</x:f>
      </x:c>
      <x:c r="I76" s="22"/>
      <x:c r="J76" s="22"/>
      <x:c r="K76" s="22"/>
      <x:c r="L76" s="24"/>
      <x:c r="M76" s="22"/>
      <x:c r="N76" s="24"/>
      <x:c r="O76" s="22"/>
      <x:c r="P76" s="22"/>
    </x:row>
    <x:row r="77" ht="23" customHeight="1">
      <x:c r="A77" s="22"/>
      <x:c r="B77" s="22"/>
      <x:c r="C77" s="22"/>
      <x:c r="D77" s="22"/>
      <x:c r="E77" s="22"/>
      <x:c r="F77" s="22"/>
      <x:c r="G77" t="str">
        <x:f>IF(A77="","",E77*F77)</x:f>
      </x:c>
      <x:c r="H77" t="str">
        <x:f>IF(A77="","",IF(G77&gt;=16,"Critical",IF(G77&gt;=10,"High",IF(G77&gt;=5,"Medium","Low"))))</x:f>
      </x:c>
      <x:c r="I77" s="22"/>
      <x:c r="J77" s="22"/>
      <x:c r="K77" s="22"/>
      <x:c r="L77" s="24"/>
      <x:c r="M77" s="22"/>
      <x:c r="N77" s="24"/>
      <x:c r="O77" s="22"/>
      <x:c r="P77" s="22"/>
    </x:row>
    <x:row r="78" ht="23" customHeight="1">
      <x:c r="A78" s="22"/>
      <x:c r="B78" s="22"/>
      <x:c r="C78" s="22"/>
      <x:c r="D78" s="22"/>
      <x:c r="E78" s="22"/>
      <x:c r="F78" s="22"/>
      <x:c r="G78" t="str">
        <x:f>IF(A78="","",E78*F78)</x:f>
      </x:c>
      <x:c r="H78" t="str">
        <x:f>IF(A78="","",IF(G78&gt;=16,"Critical",IF(G78&gt;=10,"High",IF(G78&gt;=5,"Medium","Low"))))</x:f>
      </x:c>
      <x:c r="I78" s="22"/>
      <x:c r="J78" s="22"/>
      <x:c r="K78" s="22"/>
      <x:c r="L78" s="24"/>
      <x:c r="M78" s="22"/>
      <x:c r="N78" s="24"/>
      <x:c r="O78" s="22"/>
      <x:c r="P78" s="22"/>
    </x:row>
    <x:row r="79" ht="23" customHeight="1">
      <x:c r="A79" s="22"/>
      <x:c r="B79" s="22"/>
      <x:c r="C79" s="22"/>
      <x:c r="D79" s="22"/>
      <x:c r="E79" s="22"/>
      <x:c r="F79" s="22"/>
      <x:c r="G79" t="str">
        <x:f>IF(A79="","",E79*F79)</x:f>
      </x:c>
      <x:c r="H79" t="str">
        <x:f>IF(A79="","",IF(G79&gt;=16,"Critical",IF(G79&gt;=10,"High",IF(G79&gt;=5,"Medium","Low"))))</x:f>
      </x:c>
      <x:c r="I79" s="22"/>
      <x:c r="J79" s="22"/>
      <x:c r="K79" s="22"/>
      <x:c r="L79" s="24"/>
      <x:c r="M79" s="22"/>
      <x:c r="N79" s="24"/>
      <x:c r="O79" s="22"/>
      <x:c r="P79" s="22"/>
    </x:row>
    <x:row r="80" ht="23" customHeight="1">
      <x:c r="A80" s="22"/>
      <x:c r="B80" s="22"/>
      <x:c r="C80" s="22"/>
      <x:c r="D80" s="22"/>
      <x:c r="E80" s="22"/>
      <x:c r="F80" s="22"/>
      <x:c r="G80" t="str">
        <x:f>IF(A80="","",E80*F80)</x:f>
      </x:c>
      <x:c r="H80" t="str">
        <x:f>IF(A80="","",IF(G80&gt;=16,"Critical",IF(G80&gt;=10,"High",IF(G80&gt;=5,"Medium","Low"))))</x:f>
      </x:c>
      <x:c r="I80" s="22"/>
      <x:c r="J80" s="22"/>
      <x:c r="K80" s="22"/>
      <x:c r="L80" s="24"/>
      <x:c r="M80" s="22"/>
      <x:c r="N80" s="24"/>
      <x:c r="O80" s="22"/>
      <x:c r="P80" s="22"/>
    </x:row>
    <x:row r="81" ht="23" customHeight="1">
      <x:c r="A81" s="22"/>
      <x:c r="B81" s="22"/>
      <x:c r="C81" s="22"/>
      <x:c r="D81" s="22"/>
      <x:c r="E81" s="22"/>
      <x:c r="F81" s="22"/>
      <x:c r="G81" t="str">
        <x:f>IF(A81="","",E81*F81)</x:f>
      </x:c>
      <x:c r="H81" t="str">
        <x:f>IF(A81="","",IF(G81&gt;=16,"Critical",IF(G81&gt;=10,"High",IF(G81&gt;=5,"Medium","Low"))))</x:f>
      </x:c>
      <x:c r="I81" s="22"/>
      <x:c r="J81" s="22"/>
      <x:c r="K81" s="22"/>
      <x:c r="L81" s="24"/>
      <x:c r="M81" s="22"/>
      <x:c r="N81" s="24"/>
      <x:c r="O81" s="22"/>
      <x:c r="P81" s="22"/>
    </x:row>
    <x:row r="82" ht="23" customHeight="1">
      <x:c r="A82" s="22"/>
      <x:c r="B82" s="22"/>
      <x:c r="C82" s="22"/>
      <x:c r="D82" s="22"/>
      <x:c r="E82" s="22"/>
      <x:c r="F82" s="22"/>
      <x:c r="G82" t="str">
        <x:f>IF(A82="","",E82*F82)</x:f>
      </x:c>
      <x:c r="H82" t="str">
        <x:f>IF(A82="","",IF(G82&gt;=16,"Critical",IF(G82&gt;=10,"High",IF(G82&gt;=5,"Medium","Low"))))</x:f>
      </x:c>
      <x:c r="I82" s="22"/>
      <x:c r="J82" s="22"/>
      <x:c r="K82" s="22"/>
      <x:c r="L82" s="24"/>
      <x:c r="M82" s="22"/>
      <x:c r="N82" s="24"/>
      <x:c r="O82" s="22"/>
      <x:c r="P82" s="22"/>
    </x:row>
    <x:row r="83" ht="23" customHeight="1">
      <x:c r="A83" s="22"/>
      <x:c r="B83" s="22"/>
      <x:c r="C83" s="22"/>
      <x:c r="D83" s="22"/>
      <x:c r="E83" s="22"/>
      <x:c r="F83" s="22"/>
      <x:c r="G83" t="str">
        <x:f>IF(A83="","",E83*F83)</x:f>
      </x:c>
      <x:c r="H83" t="str">
        <x:f>IF(A83="","",IF(G83&gt;=16,"Critical",IF(G83&gt;=10,"High",IF(G83&gt;=5,"Medium","Low"))))</x:f>
      </x:c>
      <x:c r="I83" s="22"/>
      <x:c r="J83" s="22"/>
      <x:c r="K83" s="22"/>
      <x:c r="L83" s="24"/>
      <x:c r="M83" s="22"/>
      <x:c r="N83" s="24"/>
      <x:c r="O83" s="22"/>
      <x:c r="P83" s="22"/>
    </x:row>
    <x:row r="84" ht="23" customHeight="1">
      <x:c r="A84" s="22"/>
      <x:c r="B84" s="22"/>
      <x:c r="C84" s="22"/>
      <x:c r="D84" s="22"/>
      <x:c r="E84" s="22"/>
      <x:c r="F84" s="22"/>
      <x:c r="G84" t="str">
        <x:f>IF(A84="","",E84*F84)</x:f>
      </x:c>
      <x:c r="H84" t="str">
        <x:f>IF(A84="","",IF(G84&gt;=16,"Critical",IF(G84&gt;=10,"High",IF(G84&gt;=5,"Medium","Low"))))</x:f>
      </x:c>
      <x:c r="I84" s="22"/>
      <x:c r="J84" s="22"/>
      <x:c r="K84" s="22"/>
      <x:c r="L84" s="24"/>
      <x:c r="M84" s="22"/>
      <x:c r="N84" s="24"/>
      <x:c r="O84" s="22"/>
      <x:c r="P84" s="22"/>
    </x:row>
    <x:row r="85" ht="23" customHeight="1">
      <x:c r="A85" s="22"/>
      <x:c r="B85" s="22"/>
      <x:c r="C85" s="22"/>
      <x:c r="D85" s="22"/>
      <x:c r="E85" s="22"/>
      <x:c r="F85" s="22"/>
      <x:c r="G85" t="str">
        <x:f>IF(A85="","",E85*F85)</x:f>
      </x:c>
      <x:c r="H85" t="str">
        <x:f>IF(A85="","",IF(G85&gt;=16,"Critical",IF(G85&gt;=10,"High",IF(G85&gt;=5,"Medium","Low"))))</x:f>
      </x:c>
      <x:c r="I85" s="22"/>
      <x:c r="J85" s="22"/>
      <x:c r="K85" s="22"/>
      <x:c r="L85" s="24"/>
      <x:c r="M85" s="22"/>
      <x:c r="N85" s="24"/>
      <x:c r="O85" s="22"/>
      <x:c r="P85" s="22"/>
    </x:row>
    <x:row r="86" ht="23" customHeight="1">
      <x:c r="A86" s="22"/>
      <x:c r="B86" s="22"/>
      <x:c r="C86" s="22"/>
      <x:c r="D86" s="22"/>
      <x:c r="E86" s="22"/>
      <x:c r="F86" s="22"/>
      <x:c r="G86" t="str">
        <x:f>IF(A86="","",E86*F86)</x:f>
      </x:c>
      <x:c r="H86" t="str">
        <x:f>IF(A86="","",IF(G86&gt;=16,"Critical",IF(G86&gt;=10,"High",IF(G86&gt;=5,"Medium","Low"))))</x:f>
      </x:c>
      <x:c r="I86" s="22"/>
      <x:c r="J86" s="22"/>
      <x:c r="K86" s="22"/>
      <x:c r="L86" s="24"/>
      <x:c r="M86" s="22"/>
      <x:c r="N86" s="24"/>
      <x:c r="O86" s="22"/>
      <x:c r="P86" s="22"/>
    </x:row>
    <x:row r="87" ht="23" customHeight="1">
      <x:c r="A87" s="22"/>
      <x:c r="B87" s="22"/>
      <x:c r="C87" s="22"/>
      <x:c r="D87" s="22"/>
      <x:c r="E87" s="22"/>
      <x:c r="F87" s="22"/>
      <x:c r="G87" t="str">
        <x:f>IF(A87="","",E87*F87)</x:f>
      </x:c>
      <x:c r="H87" t="str">
        <x:f>IF(A87="","",IF(G87&gt;=16,"Critical",IF(G87&gt;=10,"High",IF(G87&gt;=5,"Medium","Low"))))</x:f>
      </x:c>
      <x:c r="I87" s="22"/>
      <x:c r="J87" s="22"/>
      <x:c r="K87" s="22"/>
      <x:c r="L87" s="24"/>
      <x:c r="M87" s="22"/>
      <x:c r="N87" s="24"/>
      <x:c r="O87" s="22"/>
      <x:c r="P87" s="22"/>
    </x:row>
    <x:row r="88" ht="23" customHeight="1">
      <x:c r="A88" s="22"/>
      <x:c r="B88" s="22"/>
      <x:c r="C88" s="22"/>
      <x:c r="D88" s="22"/>
      <x:c r="E88" s="22"/>
      <x:c r="F88" s="22"/>
      <x:c r="G88" t="str">
        <x:f>IF(A88="","",E88*F88)</x:f>
      </x:c>
      <x:c r="H88" t="str">
        <x:f>IF(A88="","",IF(G88&gt;=16,"Critical",IF(G88&gt;=10,"High",IF(G88&gt;=5,"Medium","Low"))))</x:f>
      </x:c>
      <x:c r="I88" s="22"/>
      <x:c r="J88" s="22"/>
      <x:c r="K88" s="22"/>
      <x:c r="L88" s="24"/>
      <x:c r="M88" s="22"/>
      <x:c r="N88" s="24"/>
      <x:c r="O88" s="22"/>
      <x:c r="P88" s="22"/>
    </x:row>
    <x:row r="89" ht="23" customHeight="1">
      <x:c r="A89" s="22"/>
      <x:c r="B89" s="22"/>
      <x:c r="C89" s="22"/>
      <x:c r="D89" s="22"/>
      <x:c r="E89" s="22"/>
      <x:c r="F89" s="22"/>
      <x:c r="G89" t="str">
        <x:f>IF(A89="","",E89*F89)</x:f>
      </x:c>
      <x:c r="H89" t="str">
        <x:f>IF(A89="","",IF(G89&gt;=16,"Critical",IF(G89&gt;=10,"High",IF(G89&gt;=5,"Medium","Low"))))</x:f>
      </x:c>
      <x:c r="I89" s="22"/>
      <x:c r="J89" s="22"/>
      <x:c r="K89" s="22"/>
      <x:c r="L89" s="24"/>
      <x:c r="M89" s="22"/>
      <x:c r="N89" s="24"/>
      <x:c r="O89" s="22"/>
      <x:c r="P89" s="22"/>
    </x:row>
    <x:row r="90" ht="23" customHeight="1">
      <x:c r="A90" s="22"/>
      <x:c r="B90" s="22"/>
      <x:c r="C90" s="22"/>
      <x:c r="D90" s="22"/>
      <x:c r="E90" s="22"/>
      <x:c r="F90" s="22"/>
      <x:c r="G90" t="str">
        <x:f>IF(A90="","",E90*F90)</x:f>
      </x:c>
      <x:c r="H90" t="str">
        <x:f>IF(A90="","",IF(G90&gt;=16,"Critical",IF(G90&gt;=10,"High",IF(G90&gt;=5,"Medium","Low"))))</x:f>
      </x:c>
      <x:c r="I90" s="22"/>
      <x:c r="J90" s="22"/>
      <x:c r="K90" s="22"/>
      <x:c r="L90" s="24"/>
      <x:c r="M90" s="22"/>
      <x:c r="N90" s="24"/>
      <x:c r="O90" s="22"/>
      <x:c r="P90" s="22"/>
    </x:row>
    <x:row r="91" ht="23" customHeight="1">
      <x:c r="A91" s="22"/>
      <x:c r="B91" s="22"/>
      <x:c r="C91" s="22"/>
      <x:c r="D91" s="22"/>
      <x:c r="E91" s="22"/>
      <x:c r="F91" s="22"/>
      <x:c r="G91" t="str">
        <x:f>IF(A91="","",E91*F91)</x:f>
      </x:c>
      <x:c r="H91" t="str">
        <x:f>IF(A91="","",IF(G91&gt;=16,"Critical",IF(G91&gt;=10,"High",IF(G91&gt;=5,"Medium","Low"))))</x:f>
      </x:c>
      <x:c r="I91" s="22"/>
      <x:c r="J91" s="22"/>
      <x:c r="K91" s="22"/>
      <x:c r="L91" s="24"/>
      <x:c r="M91" s="22"/>
      <x:c r="N91" s="24"/>
      <x:c r="O91" s="22"/>
      <x:c r="P91" s="22"/>
    </x:row>
    <x:row r="92" ht="23" customHeight="1">
      <x:c r="A92" s="22"/>
      <x:c r="B92" s="22"/>
      <x:c r="C92" s="22"/>
      <x:c r="D92" s="22"/>
      <x:c r="E92" s="22"/>
      <x:c r="F92" s="22"/>
      <x:c r="G92" t="str">
        <x:f>IF(A92="","",E92*F92)</x:f>
      </x:c>
      <x:c r="H92" t="str">
        <x:f>IF(A92="","",IF(G92&gt;=16,"Critical",IF(G92&gt;=10,"High",IF(G92&gt;=5,"Medium","Low"))))</x:f>
      </x:c>
      <x:c r="I92" s="22"/>
      <x:c r="J92" s="22"/>
      <x:c r="K92" s="22"/>
      <x:c r="L92" s="24"/>
      <x:c r="M92" s="22"/>
      <x:c r="N92" s="24"/>
      <x:c r="O92" s="22"/>
      <x:c r="P92" s="22"/>
    </x:row>
    <x:row r="93" ht="23" customHeight="1">
      <x:c r="A93" s="22"/>
      <x:c r="B93" s="22"/>
      <x:c r="C93" s="22"/>
      <x:c r="D93" s="22"/>
      <x:c r="E93" s="22"/>
      <x:c r="F93" s="22"/>
      <x:c r="G93" t="str">
        <x:f>IF(A93="","",E93*F93)</x:f>
      </x:c>
      <x:c r="H93" t="str">
        <x:f>IF(A93="","",IF(G93&gt;=16,"Critical",IF(G93&gt;=10,"High",IF(G93&gt;=5,"Medium","Low"))))</x:f>
      </x:c>
      <x:c r="I93" s="22"/>
      <x:c r="J93" s="22"/>
      <x:c r="K93" s="22"/>
      <x:c r="L93" s="24"/>
      <x:c r="M93" s="22"/>
      <x:c r="N93" s="24"/>
      <x:c r="O93" s="22"/>
      <x:c r="P93" s="22"/>
    </x:row>
    <x:row r="94" ht="23" customHeight="1">
      <x:c r="A94" s="22"/>
      <x:c r="B94" s="22"/>
      <x:c r="C94" s="22"/>
      <x:c r="D94" s="22"/>
      <x:c r="E94" s="22"/>
      <x:c r="F94" s="22"/>
      <x:c r="G94" t="str">
        <x:f>IF(A94="","",E94*F94)</x:f>
      </x:c>
      <x:c r="H94" t="str">
        <x:f>IF(A94="","",IF(G94&gt;=16,"Critical",IF(G94&gt;=10,"High",IF(G94&gt;=5,"Medium","Low"))))</x:f>
      </x:c>
      <x:c r="I94" s="22"/>
      <x:c r="J94" s="22"/>
      <x:c r="K94" s="22"/>
      <x:c r="L94" s="24"/>
      <x:c r="M94" s="22"/>
      <x:c r="N94" s="24"/>
      <x:c r="O94" s="22"/>
      <x:c r="P94" s="22"/>
    </x:row>
    <x:row r="95" ht="23" customHeight="1">
      <x:c r="A95" s="22"/>
      <x:c r="B95" s="22"/>
      <x:c r="C95" s="22"/>
      <x:c r="D95" s="22"/>
      <x:c r="E95" s="22"/>
      <x:c r="F95" s="22"/>
      <x:c r="G95" t="str">
        <x:f>IF(A95="","",E95*F95)</x:f>
      </x:c>
      <x:c r="H95" t="str">
        <x:f>IF(A95="","",IF(G95&gt;=16,"Critical",IF(G95&gt;=10,"High",IF(G95&gt;=5,"Medium","Low"))))</x:f>
      </x:c>
      <x:c r="I95" s="22"/>
      <x:c r="J95" s="22"/>
      <x:c r="K95" s="22"/>
      <x:c r="L95" s="24"/>
      <x:c r="M95" s="22"/>
      <x:c r="N95" s="24"/>
      <x:c r="O95" s="22"/>
      <x:c r="P95" s="22"/>
    </x:row>
    <x:row r="96" ht="23" customHeight="1">
      <x:c r="A96" s="22"/>
      <x:c r="B96" s="22"/>
      <x:c r="C96" s="22"/>
      <x:c r="D96" s="22"/>
      <x:c r="E96" s="22"/>
      <x:c r="F96" s="22"/>
      <x:c r="G96" t="str">
        <x:f>IF(A96="","",E96*F96)</x:f>
      </x:c>
      <x:c r="H96" t="str">
        <x:f>IF(A96="","",IF(G96&gt;=16,"Critical",IF(G96&gt;=10,"High",IF(G96&gt;=5,"Medium","Low"))))</x:f>
      </x:c>
      <x:c r="I96" s="22"/>
      <x:c r="J96" s="22"/>
      <x:c r="K96" s="22"/>
      <x:c r="L96" s="24"/>
      <x:c r="M96" s="22"/>
      <x:c r="N96" s="24"/>
      <x:c r="O96" s="22"/>
      <x:c r="P96" s="22"/>
    </x:row>
    <x:row r="97" ht="23" customHeight="1">
      <x:c r="A97" s="22"/>
      <x:c r="B97" s="22"/>
      <x:c r="C97" s="22"/>
      <x:c r="D97" s="22"/>
      <x:c r="E97" s="22"/>
      <x:c r="F97" s="22"/>
      <x:c r="G97" t="str">
        <x:f>IF(A97="","",E97*F97)</x:f>
      </x:c>
      <x:c r="H97" t="str">
        <x:f>IF(A97="","",IF(G97&gt;=16,"Critical",IF(G97&gt;=10,"High",IF(G97&gt;=5,"Medium","Low"))))</x:f>
      </x:c>
      <x:c r="I97" s="22"/>
      <x:c r="J97" s="22"/>
      <x:c r="K97" s="22"/>
      <x:c r="L97" s="24"/>
      <x:c r="M97" s="22"/>
      <x:c r="N97" s="24"/>
      <x:c r="O97" s="22"/>
      <x:c r="P97" s="22"/>
    </x:row>
    <x:row r="98" ht="23" customHeight="1">
      <x:c r="A98" s="22"/>
      <x:c r="B98" s="22"/>
      <x:c r="C98" s="22"/>
      <x:c r="D98" s="22"/>
      <x:c r="E98" s="22"/>
      <x:c r="F98" s="22"/>
      <x:c r="G98" t="str">
        <x:f>IF(A98="","",E98*F98)</x:f>
      </x:c>
      <x:c r="H98" t="str">
        <x:f>IF(A98="","",IF(G98&gt;=16,"Critical",IF(G98&gt;=10,"High",IF(G98&gt;=5,"Medium","Low"))))</x:f>
      </x:c>
      <x:c r="I98" s="22"/>
      <x:c r="J98" s="22"/>
      <x:c r="K98" s="22"/>
      <x:c r="L98" s="24"/>
      <x:c r="M98" s="22"/>
      <x:c r="N98" s="24"/>
      <x:c r="O98" s="22"/>
      <x:c r="P98" s="22"/>
    </x:row>
    <x:row r="99" ht="23" customHeight="1">
      <x:c r="A99" s="22"/>
      <x:c r="B99" s="22"/>
      <x:c r="C99" s="22"/>
      <x:c r="D99" s="22"/>
      <x:c r="E99" s="22"/>
      <x:c r="F99" s="22"/>
      <x:c r="G99" t="str">
        <x:f>IF(A99="","",E99*F99)</x:f>
      </x:c>
      <x:c r="H99" t="str">
        <x:f>IF(A99="","",IF(G99&gt;=16,"Critical",IF(G99&gt;=10,"High",IF(G99&gt;=5,"Medium","Low"))))</x:f>
      </x:c>
      <x:c r="I99" s="22"/>
      <x:c r="J99" s="22"/>
      <x:c r="K99" s="22"/>
      <x:c r="L99" s="24"/>
      <x:c r="M99" s="22"/>
      <x:c r="N99" s="24"/>
      <x:c r="O99" s="22"/>
      <x:c r="P99" s="22"/>
    </x:row>
    <x:row r="100" ht="23" customHeight="1">
      <x:c r="A100" s="22"/>
      <x:c r="B100" s="22"/>
      <x:c r="C100" s="22"/>
      <x:c r="D100" s="22"/>
      <x:c r="E100" s="22"/>
      <x:c r="F100" s="22"/>
      <x:c r="G100" t="str">
        <x:f>IF(A100="","",E100*F100)</x:f>
      </x:c>
      <x:c r="H100" t="str">
        <x:f>IF(A100="","",IF(G100&gt;=16,"Critical",IF(G100&gt;=10,"High",IF(G100&gt;=5,"Medium","Low"))))</x:f>
      </x:c>
      <x:c r="I100" s="22"/>
      <x:c r="J100" s="22"/>
      <x:c r="K100" s="22"/>
      <x:c r="L100" s="24"/>
      <x:c r="M100" s="22"/>
      <x:c r="N100" s="24"/>
      <x:c r="O100" s="22"/>
      <x:c r="P100" s="22"/>
    </x:row>
    <x:row r="101" ht="23" customHeight="1">
      <x:c r="A101" s="22"/>
      <x:c r="B101" s="22"/>
      <x:c r="C101" s="22"/>
      <x:c r="D101" s="22"/>
      <x:c r="E101" s="22"/>
      <x:c r="F101" s="22"/>
      <x:c r="G101" t="str">
        <x:f>IF(A101="","",E101*F101)</x:f>
      </x:c>
      <x:c r="H101" t="str">
        <x:f>IF(A101="","",IF(G101&gt;=16,"Critical",IF(G101&gt;=10,"High",IF(G101&gt;=5,"Medium","Low"))))</x:f>
      </x:c>
      <x:c r="I101" s="22"/>
      <x:c r="J101" s="22"/>
      <x:c r="K101" s="22"/>
      <x:c r="L101" s="24"/>
      <x:c r="M101" s="22"/>
      <x:c r="N101" s="24"/>
      <x:c r="O101" s="22"/>
      <x:c r="P101" s="22"/>
    </x:row>
    <x:row r="102" ht="23" customHeight="1">
      <x:c r="A102" s="22"/>
      <x:c r="B102" s="22"/>
      <x:c r="C102" s="22"/>
      <x:c r="D102" s="22"/>
      <x:c r="E102" s="22"/>
      <x:c r="F102" s="22"/>
      <x:c r="G102" t="str">
        <x:f>IF(A102="","",E102*F102)</x:f>
      </x:c>
      <x:c r="H102" t="str">
        <x:f>IF(A102="","",IF(G102&gt;=16,"Critical",IF(G102&gt;=10,"High",IF(G102&gt;=5,"Medium","Low"))))</x:f>
      </x:c>
      <x:c r="I102" s="22"/>
      <x:c r="J102" s="22"/>
      <x:c r="K102" s="22"/>
      <x:c r="L102" s="24"/>
      <x:c r="M102" s="22"/>
      <x:c r="N102" s="24"/>
      <x:c r="O102" s="22"/>
      <x:c r="P102" s="22"/>
    </x:row>
    <x:row r="103" ht="23" customHeight="1">
      <x:c r="A103" s="22"/>
      <x:c r="B103" s="22"/>
      <x:c r="C103" s="22"/>
      <x:c r="D103" s="22"/>
      <x:c r="E103" s="22"/>
      <x:c r="F103" s="22"/>
      <x:c r="G103" t="str">
        <x:f>IF(A103="","",E103*F103)</x:f>
      </x:c>
      <x:c r="H103" t="str">
        <x:f>IF(A103="","",IF(G103&gt;=16,"Critical",IF(G103&gt;=10,"High",IF(G103&gt;=5,"Medium","Low"))))</x:f>
      </x:c>
      <x:c r="I103" s="22"/>
      <x:c r="J103" s="22"/>
      <x:c r="K103" s="22"/>
      <x:c r="L103" s="24"/>
      <x:c r="M103" s="22"/>
      <x:c r="N103" s="24"/>
      <x:c r="O103" s="22"/>
      <x:c r="P103" s="22"/>
    </x:row>
    <x:row r="104" ht="23" customHeight="1">
      <x:c r="A104" s="22"/>
      <x:c r="B104" s="22"/>
      <x:c r="C104" s="22"/>
      <x:c r="D104" s="22"/>
      <x:c r="E104" s="22"/>
      <x:c r="F104" s="22"/>
      <x:c r="G104" t="str">
        <x:f>IF(A104="","",E104*F104)</x:f>
      </x:c>
      <x:c r="H104" t="str">
        <x:f>IF(A104="","",IF(G104&gt;=16,"Critical",IF(G104&gt;=10,"High",IF(G104&gt;=5,"Medium","Low"))))</x:f>
      </x:c>
      <x:c r="I104" s="22"/>
      <x:c r="J104" s="22"/>
      <x:c r="K104" s="22"/>
      <x:c r="L104" s="24"/>
      <x:c r="M104" s="22"/>
      <x:c r="N104" s="24"/>
      <x:c r="O104" s="22"/>
      <x:c r="P104" s="22"/>
    </x:row>
    <x:row r="105" ht="23" customHeight="1">
      <x:c r="A105" s="22"/>
      <x:c r="B105" s="22"/>
      <x:c r="C105" s="22"/>
      <x:c r="D105" s="22"/>
      <x:c r="E105" s="22"/>
      <x:c r="F105" s="22"/>
      <x:c r="G105" t="str">
        <x:f>IF(A105="","",E105*F105)</x:f>
      </x:c>
      <x:c r="H105" t="str">
        <x:f>IF(A105="","",IF(G105&gt;=16,"Critical",IF(G105&gt;=10,"High",IF(G105&gt;=5,"Medium","Low"))))</x:f>
      </x:c>
      <x:c r="I105" s="22"/>
      <x:c r="J105" s="22"/>
      <x:c r="K105" s="22"/>
      <x:c r="L105" s="24"/>
      <x:c r="M105" s="22"/>
      <x:c r="N105" s="24"/>
      <x:c r="O105" s="22"/>
      <x:c r="P105" s="22"/>
    </x:row>
  </x:sheetData>
  <x:mergeCells>
    <x:mergeCell ref="A1:P2"/>
  </x:mergeCells>
  <x:conditionalFormatting sqref="H5:H105">
    <x:cfRule type="expression" dxfId="3" priority="1">
      <x:formula>H5="Critical"</x:formula>
    </x:cfRule>
    <x:cfRule type="expression" dxfId="4" priority="2">
      <x:formula>H5="High"</x:formula>
    </x:cfRule>
  </x:conditionalFormatting>
  <x:dataValidations count="2">
    <x:dataValidation type="list" sqref="M5:M105">
      <x:formula1>"Open,In Progress,Mitigated,Closed"</x:formula1>
    </x:dataValidation>
    <x:dataValidation type="list" sqref="E5:F105">
      <x:formula1>"1,2,3,4,5"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90" hidden="0" customWidth="1"/>
  </x:cols>
  <x:sheetData>
    <x:row r="1" ht="24" customHeight="1">
      <x:c r="A1" s="3" t="str">
        <x:v>EVOF | Purchase Order &amp; Supply Risk Tracker</x:v>
      </x:c>
      <x:c r="B1" s="3"/>
      <x:c r="C1" s="3"/>
      <x:c r="D1" s="3"/>
      <x:c r="E1" s="3"/>
      <x:c r="F1" s="3"/>
      <x:c r="G1" s="3"/>
      <x:c r="H1" s="3"/>
    </x:row>
    <x:row r="2" ht="24" customHeight="1">
      <x:c r="A2" s="3"/>
      <x:c r="B2" s="3"/>
      <x:c r="C2" s="3"/>
      <x:c r="D2" s="3"/>
      <x:c r="E2" s="3"/>
      <x:c r="F2" s="3"/>
      <x:c r="G2" s="3"/>
      <x:c r="H2" s="3"/>
    </x:row>
    <x:row r="4" ht="34" customHeight="1">
      <x:c r="A4" s="6" t="str">
        <x:v>PROJECT TYPE</x:v>
      </x:c>
      <x:c r="B4" s="8" t="str">
        <x:v>Independent portfolio demonstration — fictional industrial procurement data</x:v>
      </x:c>
    </x:row>
    <x:row r="5" ht="34" customHeight="1">
      <x:c r="A5" s="6" t="str">
        <x:v>PURPOSE</x:v>
      </x:c>
      <x:c r="B5" s="8" t="str">
        <x:v>Track purchase orders, delivery exceptions, supplier commitments and risk mitigation.</x:v>
      </x:c>
    </x:row>
    <x:row r="6" ht="34" customHeight="1">
      <x:c r="A6" s="6" t="str">
        <x:v>WORKFLOW 1</x:v>
      </x:c>
      <x:c r="B6" s="8" t="str">
        <x:v>Update editable fields in PO Tracker: status, actual receipts, expected dates and ownership.</x:v>
      </x:c>
    </x:row>
    <x:row r="7" ht="34" customHeight="1">
      <x:c r="A7" s="6" t="str">
        <x:v>WORKFLOW 2</x:v>
      </x:c>
      <x:c r="B7" s="8" t="str">
        <x:v>Review calculated days to due date, outstanding quantity, exposure and risk flags.</x:v>
      </x:c>
    </x:row>
    <x:row r="8" ht="34" customHeight="1">
      <x:c r="A8" s="6" t="str">
        <x:v>WORKFLOW 3</x:v>
      </x:c>
      <x:c r="B8" s="8" t="str">
        <x:v>Log meaningful risks in Risk Register with owner, mitigation, next action and due date.</x:v>
      </x:c>
    </x:row>
    <x:row r="9" ht="34" customHeight="1">
      <x:c r="A9" s="6" t="str">
        <x:v>WORKFLOW 4</x:v>
      </x:c>
      <x:c r="B9" s="8" t="str">
        <x:v>Review Dashboard KPIs and prioritize critical orders and overdue actions.</x:v>
      </x:c>
    </x:row>
    <x:row r="10" ht="34" customHeight="1">
      <x:c r="A10" s="6" t="str">
        <x:v>SCENARIO</x:v>
      </x:c>
      <x:c r="B10" s="8" t="str">
        <x:v>Industrial automation components; three fictional suppliers and ten purchase orders.</x:v>
      </x:c>
    </x:row>
    <x:row r="11" ht="34" customHeight="1">
      <x:c r="A11" s="6" t="str">
        <x:v>IMPORTANT</x:v>
      </x:c>
      <x:c r="B11" s="8" t="str">
        <x:v>All company, supplier, prices, dates and performance information are simulated.</x:v>
      </x:c>
    </x:row>
    <x:row r="12" ht="34" customHeight="1">
      <x:c r="A12" s="6" t="str">
        <x:v>FORMULAS</x:v>
      </x:c>
      <x:c r="B12" s="8" t="str">
        <x:v>Calculated columns are prefilled through row 105; input fields are light blue.</x:v>
      </x:c>
    </x:row>
    <x:row r="13" ht="34" customHeight="1">
      <x:c r="A13" s="6" t="str">
        <x:v>DATES</x:v>
      </x:c>
      <x:c r="B13" s="8" t="str">
        <x:v>Snapshot date is configurable in Settings!B4 (defaults to 2026-10-15).</x:v>
      </x:c>
    </x:row>
    <x:row r="14" ht="34" customHeight="1">
      <x:c r="A14" s="6" t="str">
        <x:v>SCOPE</x:v>
      </x:c>
      <x:c r="B14" s="8" t="str">
        <x:v>This tool is a demonstration; it is not connected to an ERP or production database.</x:v>
      </x:c>
    </x:row>
  </x:sheetData>
  <x:mergeCells>
    <x:mergeCell ref="A1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2" hidden="0" customWidth="1"/>
  </x:cols>
  <x:sheetData>
    <x:row r="1" ht="24" customHeight="1">
      <x:c r="A1" s="3" t="str">
        <x:v>EVOF | Model Settings</x:v>
      </x:c>
      <x:c r="B1" s="3"/>
      <x:c r="C1" s="3"/>
      <x:c r="D1" s="3"/>
    </x:row>
    <x:row r="2" ht="24" customHeight="1">
      <x:c r="A2" s="3"/>
      <x:c r="B2" s="3"/>
      <x:c r="C2" s="3"/>
      <x:c r="D2" s="3"/>
    </x:row>
    <x:row r="4">
      <x:c r="A4" t="str">
        <x:v>Snapshot date</x:v>
      </x:c>
      <x:c r="B4" s="12" t="n">
        <x:v>46310</x:v>
      </x:c>
    </x:row>
    <x:row r="5">
      <x:c r="A5" t="str">
        <x:v>Warning window (days)</x:v>
      </x:c>
      <x:c r="B5" s="13" t="n">
        <x:v>7</x:v>
      </x:c>
    </x:row>
    <x:row r="6">
      <x:c r="A6" t="str">
        <x:v>Critical lateness (days)</x:v>
      </x:c>
      <x:c r="B6" s="13" t="n">
        <x:v>5</x:v>
      </x:c>
    </x:row>
    <x:row r="7">
      <x:c r="A7" t="str">
        <x:v>High exposure threshold (USD)</x:v>
      </x:c>
      <x:c r="B7" s="13" t="n">
        <x:v>5000</x:v>
      </x:c>
    </x:row>
    <x:row r="8">
      <x:c r="A8" t="str">
        <x:v>Risk review cadence (days)</x:v>
      </x:c>
      <x:c r="B8" s="13" t="n">
        <x:v>7</x:v>
      </x:c>
    </x:row>
  </x:sheetData>
  <x:mergeCells>
    <x:mergeCell ref="A1:D2"/>
  </x:mergeCells>
  <x:pageMargins left="0.7" right="0.7" top="0.75" bottom="0.75" header="0.3" footer="0.3"/>
</x:worksheet>
</file>