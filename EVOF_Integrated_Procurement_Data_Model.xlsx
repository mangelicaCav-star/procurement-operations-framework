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b0a1a0360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a5afda6f4bb43ec"/>
    <x:sheet xmlns:r="http://schemas.openxmlformats.org/officeDocument/2006/relationships" name="CONTROL TOWER" sheetId="2" r:id="Rdf9eb0bfbe4b44bf"/>
    <x:sheet xmlns:r="http://schemas.openxmlformats.org/officeDocument/2006/relationships" name="SUPPLIERS" sheetId="3" r:id="Rb06fdfab7cc04288"/>
    <x:sheet xmlns:r="http://schemas.openxmlformats.org/officeDocument/2006/relationships" name="RFQ EVALUATION" sheetId="4" r:id="Rf69011c3960e4c7c"/>
    <x:sheet xmlns:r="http://schemas.openxmlformats.org/officeDocument/2006/relationships" name="PO MASTER" sheetId="5" r:id="R601a8080da8a4ac1"/>
    <x:sheet xmlns:r="http://schemas.openxmlformats.org/officeDocument/2006/relationships" name="RISK REGISTER" sheetId="6" r:id="Rf43ea712731e49ce"/>
    <x:sheet xmlns:r="http://schemas.openxmlformats.org/officeDocument/2006/relationships" name="SUPPLIER SCORECARD" sheetId="7" r:id="R6541ee36eefa43f6"/>
    <x:sheet xmlns:r="http://schemas.openxmlformats.org/officeDocument/2006/relationships" name="SETTINGS" sheetId="8" r:id="R2f234ea845eb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B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e322db5744433" /><Relationship Type="http://schemas.openxmlformats.org/officeDocument/2006/relationships/theme" Target="/xl/theme/theme1.xml" Id="R268ad9a4eca441cd" /><Relationship Type="http://schemas.openxmlformats.org/officeDocument/2006/relationships/sharedStrings" Target="/xl/sharedStrings.xml" Id="R5d19efb5096042bf" /><Relationship Type="http://schemas.openxmlformats.org/officeDocument/2006/relationships/worksheet" Target="/xl/worksheets/sheet1.xml" Id="R5a5afda6f4bb43ec" /><Relationship Type="http://schemas.openxmlformats.org/officeDocument/2006/relationships/worksheet" Target="/xl/worksheets/sheet2.xml" Id="Rdf9eb0bfbe4b44bf" /><Relationship Type="http://schemas.openxmlformats.org/officeDocument/2006/relationships/worksheet" Target="/xl/worksheets/sheet3.xml" Id="Rb06fdfab7cc04288" /><Relationship Type="http://schemas.openxmlformats.org/officeDocument/2006/relationships/worksheet" Target="/xl/worksheets/sheet4.xml" Id="Rf69011c3960e4c7c" /><Relationship Type="http://schemas.openxmlformats.org/officeDocument/2006/relationships/worksheet" Target="/xl/worksheets/sheet5.xml" Id="R601a8080da8a4ac1" /><Relationship Type="http://schemas.openxmlformats.org/officeDocument/2006/relationships/worksheet" Target="/xl/worksheets/sheet6.xml" Id="Rf43ea712731e49ce" /><Relationship Type="http://schemas.openxmlformats.org/officeDocument/2006/relationships/worksheet" Target="/xl/worksheets/sheet7.xml" Id="R6541ee36eefa43f6" /><Relationship Type="http://schemas.openxmlformats.org/officeDocument/2006/relationships/worksheet" Target="/xl/worksheets/sheet8.xml" Id="R2f234ea845eb4e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EVOF | Integrated Procurement Data Model</x:v>
      </x:c>
      <x:c r="B1" s="3"/>
      <x:c r="C1" s="3"/>
      <x:c r="D1" s="3"/>
      <x:c r="E1" s="3"/>
      <x:c r="F1" s="3"/>
      <x:c r="G1" s="3"/>
      <x:c r="H1" s="3"/>
    </x:row>
    <x:row r="3" ht="28" customHeight="1">
      <x:c r="A3" s="8" t="str">
        <x:v>AREA</x:v>
      </x:c>
      <x:c r="B3" s="8" t="str">
        <x:v>PURPOSE</x:v>
      </x:c>
      <x:c r="C3" s="8" t="str">
        <x:v>SOURCE OF TRUTH</x:v>
      </x:c>
      <x:c r="D3" s="8" t="str">
        <x:v>HOW IT CONNECTS</x:v>
      </x:c>
      <x:c r="E3" s="8"/>
      <x:c r="F3" s="8"/>
      <x:c r="G3" s="8"/>
      <x:c r="H3" s="8"/>
    </x:row>
    <x:row r="4">
      <x:c r="A4" t="str">
        <x:v>SUPPLIERS</x:v>
      </x:c>
      <x:c r="B4" t="str">
        <x:v>Supplier master IDs</x:v>
      </x:c>
      <x:c r="C4" t="str">
        <x:v>SUPPLIERS</x:v>
      </x:c>
      <x:c r="D4" t="str">
        <x:v>Supplier ID referenced by RFQ, PO, scorecard</x:v>
      </x:c>
    </x:row>
    <x:row r="5">
      <x:c r="A5" t="str">
        <x:v>RFQ EVALUATION</x:v>
      </x:c>
      <x:c r="B5" t="str">
        <x:v>Supplier quote comparison</x:v>
      </x:c>
      <x:c r="C5" t="str">
        <x:v>RFQ EVALUATION</x:v>
      </x:c>
      <x:c r="D5" t="str">
        <x:v>Supplier ID; RFQ ID (PO link optional)</x:v>
      </x:c>
    </x:row>
    <x:row r="6">
      <x:c r="A6" t="str">
        <x:v>PO MASTER</x:v>
      </x:c>
      <x:c r="B6" t="str">
        <x:v>Single PO operational dataset</x:v>
      </x:c>
      <x:c r="C6" t="str">
        <x:v>PO MASTER</x:v>
      </x:c>
      <x:c r="D6" t="str">
        <x:v>PO ID + Supplier ID; status, exposure and delivery risk computed</x:v>
      </x:c>
    </x:row>
    <x:row r="7">
      <x:c r="A7" t="str">
        <x:v>RISK REGISTER</x:v>
      </x:c>
      <x:c r="B7" t="str">
        <x:v>Risks and mitigation ownership</x:v>
      </x:c>
      <x:c r="C7" t="str">
        <x:v>RISK REGISTER</x:v>
      </x:c>
      <x:c r="D7" t="str">
        <x:v>Related PO ID validated against PO MASTER</x:v>
      </x:c>
    </x:row>
    <x:row r="8">
      <x:c r="A8" t="str">
        <x:v>CONTROL TOWER</x:v>
      </x:c>
      <x:c r="B8" t="str">
        <x:v>Live metrics from source sheets</x:v>
      </x:c>
      <x:c r="C8" t="str">
        <x:v>FORMULAS</x:v>
      </x:c>
      <x:c r="D8" t="str">
        <x:v>No duplicated PO/risk snapshot</x:v>
      </x:c>
    </x:row>
    <x:row r="9">
      <x:c r="A9" t="str">
        <x:v>SUPPLIER SCORECARD</x:v>
      </x:c>
      <x:c r="B9" t="str">
        <x:v>Supplier level exposure and risk</x:v>
      </x:c>
      <x:c r="C9" t="str">
        <x:v>FORMULAS</x:v>
      </x:c>
      <x:c r="D9" t="str">
        <x:v>SUMIF/COUNTIF by supplier ID</x:v>
      </x:c>
    </x:row>
    <x:row r="10">
      <x:c r="A10" t="str">
        <x:v>SETTINGS</x:v>
      </x:c>
      <x:c r="B10" t="str">
        <x:v>As-of date and risk thresholds</x:v>
      </x:c>
      <x:c r="C10" t="str">
        <x:v>SETTINGS</x:v>
      </x:c>
      <x:c r="D10" t="str">
        <x:v>Single configurable reference date</x:v>
      </x:c>
    </x:row>
    <x:row r="11">
      <x:c r="A11" t="str">
        <x:v>DATA POLICY</x:v>
      </x:c>
      <x:c r="B11" t="str">
        <x:v>Fictional portfolio demonstration</x:v>
      </x:c>
      <x:c r="C11" t="str">
        <x:v>ALL SHEETS</x:v>
      </x:c>
      <x:c r="D11" t="str">
        <x:v>No live ERP link or deployed implementation</x:v>
      </x:c>
    </x:row>
    <x:row r="13">
      <x:c r="A13" t="str">
        <x:v>INTEGRATION RULES</x:v>
      </x:c>
    </x:row>
    <x:row r="14">
      <x:c r="A14" t="str">
        <x:v>1</x:v>
      </x:c>
      <x:c r="B14" t="str">
        <x:v>Edit supplier records only in SUPPLIERS; use stable supplier IDs.</x:v>
      </x:c>
    </x:row>
    <x:row r="15">
      <x:c r="A15" t="str">
        <x:v>2</x:v>
      </x:c>
      <x:c r="B15" t="str">
        <x:v>Edit RFQs and purchase orders in their own source sheets; do not duplicate data into dashboards.</x:v>
      </x:c>
    </x:row>
    <x:row r="16">
      <x:c r="A16" t="str">
        <x:v>3</x:v>
      </x:c>
      <x:c r="B16" t="str">
        <x:v>Assign RFQ ID to a PO only when it really originates from that RFQ. Existing historical demo POs are deliberately unlinked.</x:v>
      </x:c>
    </x:row>
    <x:row r="17">
      <x:c r="A17" t="str">
        <x:v>4</x:v>
      </x:c>
      <x:c r="B17" t="str">
        <x:v>Risks reference PO IDs; orphan IDs are flagged in the risk register.</x:v>
      </x:c>
    </x:row>
    <x:row r="18">
      <x:c r="A18" t="str">
        <x:v>5</x:v>
      </x:c>
      <x:c r="B18" t="str">
        <x:v>Open the workbook in Excel to recalculate after edits; all data is fictional.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9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2" customHeight="1">
      <x:c r="A1" s="3" t="str">
        <x:v>EVOF | Integrated Procurement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5" customHeight="1">
      <x:c r="A3" s="8" t="str">
        <x:v>Metric</x:v>
      </x:c>
      <x:c r="B3" s="8" t="str">
        <x:v>Live value</x:v>
      </x:c>
      <x:c r="C3" s="8" t="str">
        <x:v>Interpretation</x:v>
      </x:c>
      <x:c r="D3" s="8" t="str"/>
      <x:c r="E3" s="8" t="str">
        <x:v>Metric</x:v>
      </x:c>
      <x:c r="F3" s="8" t="str">
        <x:v>Live value</x:v>
      </x:c>
      <x:c r="G3" s="8" t="str">
        <x:v>Interpretation</x:v>
      </x:c>
      <x:c r="H3" s="8" t="str"/>
      <x:c r="I3" s="8" t="str">
        <x:v>Metric</x:v>
      </x:c>
      <x:c r="J3" s="8" t="str">
        <x:v>Live value</x:v>
      </x:c>
      <x:c r="K3" s="8" t="str">
        <x:v>Interpretation</x:v>
      </x:c>
      <x:c r="L3" s="8" t="str"/>
    </x:row>
    <x:row r="4">
      <x:c r="A4" t="str">
        <x:v>Total purchase orders</x:v>
      </x:c>
      <x:c r="B4" t="n">
        <x:f>COUNTA('PO MASTER'!$A$4:$A$103)</x:f>
        <x:v>10</x:v>
      </x:c>
      <x:c r="C4" t="str">
        <x:v>Distinct PO records</x:v>
      </x:c>
    </x:row>
    <x:row r="5">
      <x:c r="A5" t="str">
        <x:v>Open purchase orders</x:v>
      </x:c>
      <x:c r="B5" t="n">
        <x:f>COUNTIF('PO MASTER'!$M$4:$M$103,"&gt;0")</x:f>
        <x:v>8</x:v>
      </x:c>
      <x:c r="C5" t="str">
        <x:v>Outstanding quantity</x:v>
      </x:c>
    </x:row>
    <x:row r="6">
      <x:c r="A6" t="str">
        <x:v>Open exposure USD</x:v>
      </x:c>
      <x:c r="B6" t="n">
        <x:f>SUM('PO MASTER'!$N$4:$N$103)</x:f>
        <x:v>55855</x:v>
      </x:c>
      <x:c r="C6" t="str">
        <x:v>Open quantity × unit price</x:v>
      </x:c>
    </x:row>
    <x:row r="7">
      <x:c r="A7" t="str">
        <x:v>High delivery risk</x:v>
      </x:c>
      <x:c r="B7" t="n">
        <x:f>COUNTIF('PO MASTER'!$R$4:$R$103,"High")</x:f>
        <x:v>1</x:v>
      </x:c>
      <x:c r="C7" t="str">
        <x:v>Open POs past revised ETA</x:v>
      </x:c>
    </x:row>
    <x:row r="8">
      <x:c r="A8" t="str">
        <x:v>Watch delivery risk</x:v>
      </x:c>
      <x:c r="B8" t="n">
        <x:f>COUNTIF('PO MASTER'!$R$4:$R$103,"Watch")</x:f>
        <x:v>2</x:v>
      </x:c>
      <x:c r="C8" t="str">
        <x:v>ETA within watch window</x:v>
      </x:c>
    </x:row>
    <x:row r="9">
      <x:c r="A9" t="str">
        <x:v>High / critical risks</x:v>
      </x:c>
      <x:c r="B9" t="n">
        <x:f>COUNTIF('RISK REGISTER'!$H$4:$H$103,"High")+COUNTIF('RISK REGISTER'!$H$4:$H$103,"Critical")</x:f>
        <x:v>4</x:v>
      </x:c>
      <x:c r="C9" t="str">
        <x:v>Risk register priority</x:v>
      </x:c>
    </x:row>
    <x:row r="10">
      <x:c r="A10" t="str">
        <x:v>Unlinked risks</x:v>
      </x:c>
      <x:c r="B10" t="n">
        <x:f>COUNTIF('RISK REGISTER'!$Q$4:$Q$103,"INVALID PO")</x:f>
        <x:v>0</x:v>
      </x:c>
      <x:c r="C10" t="str">
        <x:v>Risk references not found</x:v>
      </x:c>
    </x:row>
    <x:row r="11">
      <x:c r="A11" t="str">
        <x:v>Invalid PO references</x:v>
      </x:c>
      <x:c r="B11" t="n">
        <x:f>COUNTIF('PO MASTER'!$X$4:$X$103,"INVALID*")</x:f>
        <x:v>0</x:v>
      </x:c>
      <x:c r="C11" t="str">
        <x:v>Supplier/RFQ data quality</x:v>
      </x:c>
    </x:row>
    <x:row r="14">
      <x:c r="A14" t="str">
        <x:v>LIVE DATA FLOW</x:v>
      </x:c>
    </x:row>
    <x:row r="15">
      <x:c r="A15" t="str">
        <x:v>SUPPLIERS → RFQ</x:v>
      </x:c>
      <x:c r="B15" t="str">
        <x:v>Supplier ID</x:v>
      </x:c>
      <x:c r="C15" t="str">
        <x:v>Supplier quotes</x:v>
      </x:c>
    </x:row>
    <x:row r="16">
      <x:c r="A16" t="str">
        <x:v>SUPPLIERS → PO MASTER</x:v>
      </x:c>
      <x:c r="B16" t="str">
        <x:v>Supplier ID</x:v>
      </x:c>
      <x:c r="C16" t="str">
        <x:v>PO source of truth</x:v>
      </x:c>
    </x:row>
    <x:row r="17">
      <x:c r="A17" t="str">
        <x:v>PO MASTER → RISK REGISTER</x:v>
      </x:c>
      <x:c r="B17" t="str">
        <x:v>PO ID</x:v>
      </x:c>
      <x:c r="C17" t="str">
        <x:v>Validated risk links</x:v>
      </x:c>
    </x:row>
    <x:row r="18">
      <x:c r="A18" t="str">
        <x:v>PO MASTER + RISK REGISTER → CONTROL TOWER</x:v>
      </x:c>
      <x:c r="B18" t="str">
        <x:v>Formula references</x:v>
      </x:c>
      <x:c r="C18" t="str">
        <x:v>No snapshot duplication</x:v>
      </x:c>
    </x:row>
    <x:row r="19">
      <x:c r="A19" t="str">
        <x:v>PO MASTER + RISK REGISTER → SCORECARD</x:v>
      </x:c>
      <x:c r="B19" t="str">
        <x:v>Supplier ID / PO ID</x:v>
      </x:c>
      <x:c r="C19" t="str">
        <x:v>Exposure + risk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EVOF | Supplier Master</x:v>
      </x:c>
      <x:c r="B1" s="3"/>
      <x:c r="C1" s="3"/>
      <x:c r="D1" s="3"/>
      <x:c r="E1" s="3"/>
      <x:c r="F1" s="3"/>
    </x:row>
    <x:row r="3" ht="35" customHeight="1">
      <x:c r="A3" s="8" t="str">
        <x:v>Supplier ID</x:v>
      </x:c>
      <x:c r="B3" s="8" t="str">
        <x:v>Supplier Name</x:v>
      </x:c>
      <x:c r="C3" s="8" t="str">
        <x:v>Category</x:v>
      </x:c>
      <x:c r="D3" s="8" t="str">
        <x:v>Country</x:v>
      </x:c>
      <x:c r="E3" s="8" t="str">
        <x:v>Status</x:v>
      </x:c>
      <x:c r="F3" s="8" t="str">
        <x:v>Notes</x:v>
      </x:c>
    </x:row>
    <x:row r="4">
      <x:c r="A4" t="str">
        <x:v>SUP-A</x:v>
      </x:c>
      <x:c r="B4" t="str">
        <x:v>Supplier A</x:v>
      </x:c>
      <x:c r="C4" t="str">
        <x:v>Industrial components</x:v>
      </x:c>
      <x:c r="D4" t="str">
        <x:v>Mexico</x:v>
      </x:c>
      <x:c r="E4" t="str">
        <x:v>Approved</x:v>
      </x:c>
      <x:c r="F4" t="str">
        <x:v>Fictional</x:v>
      </x:c>
    </x:row>
    <x:row r="5">
      <x:c r="A5" t="str">
        <x:v>SUP-B</x:v>
      </x:c>
      <x:c r="B5" t="str">
        <x:v>Supplier B</x:v>
      </x:c>
      <x:c r="C5" t="str">
        <x:v>Industrial components</x:v>
      </x:c>
      <x:c r="D5" t="str">
        <x:v>United States</x:v>
      </x:c>
      <x:c r="E5" t="str">
        <x:v>Approved</x:v>
      </x:c>
      <x:c r="F5" t="str">
        <x:v>Fictional</x:v>
      </x:c>
    </x:row>
    <x:row r="6">
      <x:c r="A6" t="str">
        <x:v>SUP-C</x:v>
      </x:c>
      <x:c r="B6" t="str">
        <x:v>Supplier C</x:v>
      </x:c>
      <x:c r="C6" t="str">
        <x:v>Industrial components</x:v>
      </x:c>
      <x:c r="D6" t="str">
        <x:v>Mexico</x:v>
      </x:c>
      <x:c r="E6" t="str">
        <x:v>Approved</x:v>
      </x:c>
      <x:c r="F6" t="str">
        <x:v>Fictional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2" customHeight="1">
      <x:c r="A1" s="3" t="str">
        <x:v>EVOF | Supplier RFQ Evaluation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5" customHeight="1">
      <x:c r="A3" s="8" t="str">
        <x:v>RFQ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Unit price USD</x:v>
      </x:c>
      <x:c r="F3" s="8" t="str">
        <x:v>Qty</x:v>
      </x:c>
      <x:c r="G3" s="8" t="str">
        <x:v>Freight USD</x:v>
      </x:c>
      <x:c r="H3" s="8" t="str">
        <x:v>Duties USD</x:v>
      </x:c>
      <x:c r="I3" s="8" t="str">
        <x:v>Landed cost USD</x:v>
      </x:c>
      <x:c r="J3" s="8" t="str">
        <x:v>Lead days</x:v>
      </x:c>
      <x:c r="K3" s="8" t="str">
        <x:v>Quality 1-5</x:v>
      </x:c>
      <x:c r="L3" s="8" t="str">
        <x:v>Terms net days</x:v>
      </x:c>
      <x:c r="M3" s="8" t="str">
        <x:v>Risk 1-5</x:v>
      </x:c>
      <x:c r="N3" s="8" t="str">
        <x:v>Cost score</x:v>
      </x:c>
      <x:c r="O3" s="8" t="str">
        <x:v>Lead score</x:v>
      </x:c>
      <x:c r="P3" s="8" t="str">
        <x:v>Quality score</x:v>
      </x:c>
      <x:c r="Q3" s="8" t="str">
        <x:v>Terms score</x:v>
      </x:c>
      <x:c r="R3" s="8" t="str">
        <x:v>Risk score</x:v>
      </x:c>
      <x:c r="S3" s="8" t="str">
        <x:v>Weighted score</x:v>
      </x:c>
      <x:c r="T3" s="8" t="str">
        <x:v>Eligibility</x:v>
      </x:c>
    </x:row>
    <x:row r="4">
      <x:c r="A4" t="str">
        <x:v>RFQ-001</x:v>
      </x:c>
      <x:c r="B4" t="str">
        <x:v>SUP-A</x:v>
      </x:c>
      <x:c r="C4" t="str">
        <x:v>Supplier A</x:v>
      </x:c>
      <x:c r="D4" t="str">
        <x:v>Industrial pneumatic actuators</x:v>
      </x:c>
      <x:c r="E4" t="n">
        <x:v>112</x:v>
      </x:c>
      <x:c r="F4" t="n">
        <x:v>100</x:v>
      </x:c>
      <x:c r="G4" t="n">
        <x:v>1100</x:v>
      </x:c>
      <x:c r="H4" t="n">
        <x:v>500</x:v>
      </x:c>
      <x:c r="I4" t="n">
        <x:f>E4*F4+G4+H4</x:f>
        <x:v>12800</x:v>
      </x:c>
      <x:c r="J4" t="n">
        <x:v>25</x:v>
      </x:c>
      <x:c r="K4" t="n">
        <x:v>4.5</x:v>
      </x:c>
      <x:c r="L4" t="n">
        <x:v>30</x:v>
      </x:c>
      <x:c r="M4" t="n">
        <x:v>2</x:v>
      </x:c>
      <x:c r="N4" t="n">
        <x:f>IFERROR(MIN($I$4:$I$6)/I4*100,0)</x:f>
        <x:v>100</x:v>
      </x:c>
      <x:c r="O4" t="n">
        <x:f>IFERROR(MIN($J$4:$J$6)/J4*100,0)</x:f>
        <x:v>76</x:v>
      </x:c>
      <x:c r="P4" t="n">
        <x:f>K4/5*100</x:f>
        <x:v>90</x:v>
      </x:c>
      <x:c r="Q4" t="n">
        <x:f>L4/45*100</x:f>
        <x:v>66.66666666666666</x:v>
      </x:c>
      <x:c r="R4" t="n">
        <x:f>(6-M4)/5*100</x:f>
        <x:v>80</x:v>
      </x:c>
      <x:c r="S4" t="n">
        <x:f>N4*0.35+O4*0.25+P4*0.2+Q4*0.1+R4*0.1</x:f>
        <x:v>86.66666666666667</x:v>
      </x:c>
      <x:c r="T4" t="str">
        <x:f>IF(AND(I4&lt;=13000,J4&lt;=40,K4&gt;=4),"YES","NO")</x:f>
        <x:v>YES</x:v>
      </x:c>
    </x:row>
    <x:row r="5">
      <x:c r="A5" t="str">
        <x:v>RFQ-001</x:v>
      </x:c>
      <x:c r="B5" t="str">
        <x:v>SUP-B</x:v>
      </x:c>
      <x:c r="C5" t="str">
        <x:v>Supplier B</x:v>
      </x:c>
      <x:c r="D5" t="str">
        <x:v>Industrial pneumatic actuators</x:v>
      </x:c>
      <x:c r="E5" t="n">
        <x:v>105</x:v>
      </x:c>
      <x:c r="F5" t="n">
        <x:v>100</x:v>
      </x:c>
      <x:c r="G5" t="n">
        <x:v>1750</x:v>
      </x:c>
      <x:c r="H5" t="n">
        <x:v>550</x:v>
      </x:c>
      <x:c r="I5" t="n">
        <x:f>E5*F5+G5+H5</x:f>
        <x:v>12800</x:v>
      </x:c>
      <x:c r="J5" t="n">
        <x:v>38</x:v>
      </x:c>
      <x:c r="K5" t="n">
        <x:v>4.8</x:v>
      </x:c>
      <x:c r="L5" t="n">
        <x:v>45</x:v>
      </x:c>
      <x:c r="M5" t="n">
        <x:v>3</x:v>
      </x:c>
      <x:c r="N5" t="n">
        <x:f>IFERROR(MIN($I$4:$I$6)/I5*100,0)</x:f>
        <x:v>100</x:v>
      </x:c>
      <x:c r="O5" t="n">
        <x:f>IFERROR(MIN($J$4:$J$6)/J5*100,0)</x:f>
        <x:v>50</x:v>
      </x:c>
      <x:c r="P5" t="n">
        <x:f>K5/5*100</x:f>
        <x:v>96</x:v>
      </x:c>
      <x:c r="Q5" t="n">
        <x:f>L5/45*100</x:f>
        <x:v>100</x:v>
      </x:c>
      <x:c r="R5" t="n">
        <x:f>(6-M5)/5*100</x:f>
        <x:v>60</x:v>
      </x:c>
      <x:c r="S5" t="n">
        <x:f>N5*0.35+O5*0.25+P5*0.2+Q5*0.1+R5*0.1</x:f>
        <x:v>82.7</x:v>
      </x:c>
      <x:c r="T5" t="str">
        <x:f>IF(AND(I5&lt;=13000,J5&lt;=40,K5&gt;=4),"YES","NO")</x:f>
        <x:v>YES</x:v>
      </x:c>
    </x:row>
    <x:row r="6">
      <x:c r="A6" t="str">
        <x:v>RFQ-001</x:v>
      </x:c>
      <x:c r="B6" t="str">
        <x:v>SUP-C</x:v>
      </x:c>
      <x:c r="C6" t="str">
        <x:v>Supplier C</x:v>
      </x:c>
      <x:c r="D6" t="str">
        <x:v>Industrial pneumatic actuators</x:v>
      </x:c>
      <x:c r="E6" t="n">
        <x:v>119</x:v>
      </x:c>
      <x:c r="F6" t="n">
        <x:v>100</x:v>
      </x:c>
      <x:c r="G6" t="n">
        <x:v>700</x:v>
      </x:c>
      <x:c r="H6" t="n">
        <x:v>450</x:v>
      </x:c>
      <x:c r="I6" t="n">
        <x:f>E6*F6+G6+H6</x:f>
        <x:v>13050</x:v>
      </x:c>
      <x:c r="J6" t="n">
        <x:v>19</x:v>
      </x:c>
      <x:c r="K6" t="n">
        <x:v>3.8</x:v>
      </x:c>
      <x:c r="L6" t="n">
        <x:v>15</x:v>
      </x:c>
      <x:c r="M6" t="n">
        <x:v>1</x:v>
      </x:c>
      <x:c r="N6" t="n">
        <x:f>IFERROR(MIN($I$4:$I$6)/I6*100,0)</x:f>
        <x:v>98.08429118773945</x:v>
      </x:c>
      <x:c r="O6" t="n">
        <x:f>IFERROR(MIN($J$4:$J$6)/J6*100,0)</x:f>
        <x:v>100</x:v>
      </x:c>
      <x:c r="P6" t="n">
        <x:f>K6/5*100</x:f>
        <x:v>76</x:v>
      </x:c>
      <x:c r="Q6" t="n">
        <x:f>L6/45*100</x:f>
        <x:v>33.33333333333333</x:v>
      </x:c>
      <x:c r="R6" t="n">
        <x:f>(6-M6)/5*100</x:f>
        <x:v>100</x:v>
      </x:c>
      <x:c r="S6" t="n">
        <x:f>N6*0.35+O6*0.25+P6*0.2+Q6*0.1+R6*0.1</x:f>
        <x:v>87.86283524904213</x:v>
      </x:c>
      <x:c r="T6" t="str">
        <x:f>IF(AND(I6&lt;=13000,J6&lt;=40,K6&gt;=4),"YES","NO")</x:f>
        <x:v>NO</x:v>
      </x:c>
    </x:row>
    <x:row r="9">
      <x:c r="A9" t="str">
        <x:v>IMPORTANT: RFQ-001 is a separate demonstration for pneumatic actuators. It is not linked to the ten historical example POs.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1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32" customHeight="1">
      <x:c r="A1" s="3" t="str">
        <x:v>EVOF | Purchase Order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5" customHeight="1">
      <x:c r="A3" s="8" t="str">
        <x:v>PO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Project / Cost Center</x:v>
      </x:c>
      <x:c r="F3" s="8" t="str">
        <x:v>PO Date</x:v>
      </x:c>
      <x:c r="G3" s="8" t="str">
        <x:v>Original Due</x:v>
      </x:c>
      <x:c r="H3" s="8" t="str">
        <x:v>Revised ETA</x:v>
      </x:c>
      <x:c r="I3" s="8" t="str">
        <x:v>Ordered Qty</x:v>
      </x:c>
      <x:c r="J3" s="8" t="str">
        <x:v>Received Qty</x:v>
      </x:c>
      <x:c r="K3" s="8" t="str">
        <x:v>Unit Price USD</x:v>
      </x:c>
      <x:c r="L3" s="8" t="str">
        <x:v>PO Value USD</x:v>
      </x:c>
      <x:c r="M3" s="8" t="str">
        <x:v>Open Qty</x:v>
      </x:c>
      <x:c r="N3" s="8" t="str">
        <x:v>Open Value USD</x:v>
      </x:c>
      <x:c r="O3" s="8" t="str">
        <x:v>Days to ETA</x:v>
      </x:c>
      <x:c r="P3" s="8" t="str">
        <x:v>Days Late</x:v>
      </x:c>
      <x:c r="Q3" s="8" t="str">
        <x:v>PO Status</x:v>
      </x:c>
      <x:c r="R3" s="8" t="str">
        <x:v>Delivery Risk</x:v>
      </x:c>
      <x:c r="S3" s="8" t="str">
        <x:v>Owner</x:v>
      </x:c>
      <x:c r="T3" s="8" t="str">
        <x:v>Last Follow-up</x:v>
      </x:c>
      <x:c r="U3" s="8" t="str">
        <x:v>Next Action</x:v>
      </x:c>
      <x:c r="V3" s="8" t="str">
        <x:v>Notes</x:v>
      </x:c>
      <x:c r="W3" s="8" t="str">
        <x:v>Source RFQ ID</x:v>
      </x:c>
      <x:c r="X3" s="8" t="str">
        <x:v>Data Quality</x:v>
      </x:c>
    </x:row>
    <x:row r="4">
      <x:c r="A4" t="str">
        <x:v>PO-26001</x:v>
      </x:c>
      <x:c r="B4" t="str">
        <x:v>SUP-A</x:v>
      </x:c>
      <x:c r="C4" t="str">
        <x:v>Supplier A</x:v>
      </x:c>
      <x:c r="D4" t="str">
        <x:v>Servo motor assembly</x:v>
      </x:c>
      <x:c r="E4" t="str">
        <x:v>LINE-01</x:v>
      </x:c>
      <x:c r="F4" s="12" t="n">
        <x:v>46282</x:v>
      </x:c>
      <x:c r="G4" s="12" t="n">
        <x:v>46307</x:v>
      </x:c>
      <x:c r="H4" s="12" t="n">
        <x:v>46308</x:v>
      </x:c>
      <x:c r="I4" t="n">
        <x:v>10</x:v>
      </x:c>
      <x:c r="J4" t="n">
        <x:v>4</x:v>
      </x:c>
      <x:c r="K4" t="n">
        <x:v>1280</x:v>
      </x:c>
      <x:c r="L4" t="n">
        <x:f>I4*K4</x:f>
        <x:v>12800</x:v>
      </x:c>
      <x:c r="M4" t="n">
        <x:f>MAX(0,I4-J4)</x:f>
        <x:v>6</x:v>
      </x:c>
      <x:c r="N4" t="n">
        <x:f>M4*K4</x:f>
        <x:v>7680</x:v>
      </x:c>
      <x:c r="O4" t="n">
        <x:f>IF(M4=0,0,H4-SETTINGS!$B$4)</x:f>
        <x:v>-2</x:v>
      </x:c>
      <x:c r="P4" t="n">
        <x:f>IF(M4=0,0,MAX(0,SETTINGS!$B$4-F4))</x:f>
        <x:v>28</x:v>
      </x:c>
      <x:c r="Q4" t="str">
        <x:f>IF(M4=0,"Received",IF(J4&gt;0,"Partially Received","Open"))</x:f>
        <x:v>Partially Received</x:v>
      </x:c>
      <x:c r="R4" t="str">
        <x:f>IF(M4=0,"Closed",IF(H4&lt;SETTINGS!$B$4,"High",IF(H4&lt;=SETTINGS!$B$4+SETTINGS!$B$5,"Watch","Normal")))</x:f>
        <x:v>High</x:v>
      </x:c>
      <x:c r="S4" t="str">
        <x:v>A. Martinez</x:v>
      </x:c>
      <x:c r="T4" s="12" t="n">
        <x:v>46308</x:v>
      </x:c>
      <x:c r="U4" t="str">
        <x:v>Confirm remaining dispatch</x:v>
      </x:c>
      <x:c r="V4" t="str">
        <x:v>6 units pending</x:v>
      </x:c>
      <x:c r="W4" t="str"/>
      <x:c r="X4" t="str">
        <x:f>IF(COUNTIF(SUPPLIERS!$A$4:$A$100,B4)=0,"INVALID SUPPLIER",IF(AND(W4&lt;&gt;"",COUNTIF('RFQ EVALUATION'!$A$4:$A$100,W4)=0),"INVALID RFQ","OK"))</x:f>
        <x:v>OK</x:v>
      </x:c>
    </x:row>
    <x:row r="5">
      <x:c r="A5" t="str">
        <x:v>PO-26002</x:v>
      </x:c>
      <x:c r="B5" t="str">
        <x:v>SUP-B</x:v>
      </x:c>
      <x:c r="C5" t="str">
        <x:v>Supplier B</x:v>
      </x:c>
      <x:c r="D5" t="str">
        <x:v>Pneumatic valves</x:v>
      </x:c>
      <x:c r="E5" t="str">
        <x:v>LINE-02</x:v>
      </x:c>
      <x:c r="F5" s="12" t="n">
        <x:v>46292</x:v>
      </x:c>
      <x:c r="G5" s="12" t="n">
        <x:v>46314</x:v>
      </x:c>
      <x:c r="H5" s="12" t="n">
        <x:v>46320</x:v>
      </x:c>
      <x:c r="I5" t="n">
        <x:v>60</x:v>
      </x:c>
      <x:c r="J5" t="n">
        <x:v>0</x:v>
      </x:c>
      <x:c r="K5" t="n">
        <x:v>145</x:v>
      </x:c>
      <x:c r="L5" t="n">
        <x:f>I5*K5</x:f>
        <x:v>8700</x:v>
      </x:c>
      <x:c r="M5" t="n">
        <x:f>MAX(0,I5-J5)</x:f>
        <x:v>60</x:v>
      </x:c>
      <x:c r="N5" t="n">
        <x:f>M5*K5</x:f>
        <x:v>8700</x:v>
      </x:c>
      <x:c r="O5" t="n">
        <x:f>IF(M5=0,0,H5-SETTINGS!$B$4)</x:f>
        <x:v>10</x:v>
      </x:c>
      <x:c r="P5" t="n">
        <x:f>IF(M5=0,0,MAX(0,SETTINGS!$B$4-F5))</x:f>
        <x:v>18</x:v>
      </x:c>
      <x:c r="Q5" t="str">
        <x:f>IF(M5=0,"Received",IF(J5&gt;0,"Partially Received","Open"))</x:f>
        <x:v>Open</x:v>
      </x:c>
      <x:c r="R5" t="str">
        <x:f>IF(M5=0,"Closed",IF(H5&lt;SETTINGS!$B$4,"High",IF(H5&lt;=SETTINGS!$B$4+SETTINGS!$B$5,"Watch","Normal")))</x:f>
        <x:v>Normal</x:v>
      </x:c>
      <x:c r="S5" t="str">
        <x:v>A. Martinez</x:v>
      </x:c>
      <x:c r="T5" s="12" t="n">
        <x:v>46309</x:v>
      </x:c>
      <x:c r="U5" t="str">
        <x:v>Request recovery plan</x:v>
      </x:c>
      <x:c r="V5" t="str">
        <x:v>ETA slipped 6 days</x:v>
      </x:c>
      <x:c r="W5" t="str"/>
      <x:c r="X5" t="str">
        <x:f>IF(COUNTIF(SUPPLIERS!$A$4:$A$100,B5)=0,"INVALID SUPPLIER",IF(AND(W5&lt;&gt;"",COUNTIF('RFQ EVALUATION'!$A$4:$A$100,W5)=0),"INVALID RFQ","OK"))</x:f>
        <x:v>OK</x:v>
      </x:c>
    </x:row>
    <x:row r="6">
      <x:c r="A6" t="str">
        <x:v>PO-26003</x:v>
      </x:c>
      <x:c r="B6" t="str">
        <x:v>SUP-C</x:v>
      </x:c>
      <x:c r="C6" t="str">
        <x:v>Supplier C</x:v>
      </x:c>
      <x:c r="D6" t="str">
        <x:v>PLC controller</x:v>
      </x:c>
      <x:c r="E6" t="str">
        <x:v>PROJECT-A</x:v>
      </x:c>
      <x:c r="F6" s="12" t="n">
        <x:v>46298</x:v>
      </x:c>
      <x:c r="G6" s="12" t="n">
        <x:v>46318</x:v>
      </x:c>
      <x:c r="H6" s="12" t="n">
        <x:v>46318</x:v>
      </x:c>
      <x:c r="I6" t="n">
        <x:v>4</x:v>
      </x:c>
      <x:c r="J6" t="n">
        <x:v>0</x:v>
      </x:c>
      <x:c r="K6" t="n">
        <x:v>2250</x:v>
      </x:c>
      <x:c r="L6" t="n">
        <x:f>I6*K6</x:f>
        <x:v>9000</x:v>
      </x:c>
      <x:c r="M6" t="n">
        <x:f>MAX(0,I6-J6)</x:f>
        <x:v>4</x:v>
      </x:c>
      <x:c r="N6" t="n">
        <x:f>M6*K6</x:f>
        <x:v>9000</x:v>
      </x:c>
      <x:c r="O6" t="n">
        <x:f>IF(M6=0,0,H6-SETTINGS!$B$4)</x:f>
        <x:v>8</x:v>
      </x:c>
      <x:c r="P6" t="n">
        <x:f>IF(M6=0,0,MAX(0,SETTINGS!$B$4-F6))</x:f>
        <x:v>12</x:v>
      </x:c>
      <x:c r="Q6" t="str">
        <x:f>IF(M6=0,"Received",IF(J6&gt;0,"Partially Received","Open"))</x:f>
        <x:v>Open</x:v>
      </x:c>
      <x:c r="R6" t="str">
        <x:f>IF(M6=0,"Closed",IF(H6&lt;SETTINGS!$B$4,"High",IF(H6&lt;=SETTINGS!$B$4+SETTINGS!$B$5,"Watch","Normal")))</x:f>
        <x:v>Normal</x:v>
      </x:c>
      <x:c r="S6" t="str">
        <x:v>J. Lopez</x:v>
      </x:c>
      <x:c r="T6" s="12" t="n">
        <x:v>46308</x:v>
      </x:c>
      <x:c r="U6" t="str">
        <x:v>Verify production slot</x:v>
      </x:c>
      <x:c r="V6" t="str">
        <x:v>Critical item</x:v>
      </x:c>
      <x:c r="W6" t="str"/>
      <x:c r="X6" t="str">
        <x:f>IF(COUNTIF(SUPPLIERS!$A$4:$A$100,B6)=0,"INVALID SUPPLIER",IF(AND(W6&lt;&gt;"",COUNTIF('RFQ EVALUATION'!$A$4:$A$100,W6)=0),"INVALID RFQ","OK"))</x:f>
        <x:v>OK</x:v>
      </x:c>
    </x:row>
    <x:row r="7">
      <x:c r="A7" t="str">
        <x:v>PO-26004</x:v>
      </x:c>
      <x:c r="B7" t="str">
        <x:v>SUP-A</x:v>
      </x:c>
      <x:c r="C7" t="str">
        <x:v>Supplier A</x:v>
      </x:c>
      <x:c r="D7" t="str">
        <x:v>Industrial sensors</x:v>
      </x:c>
      <x:c r="E7" t="str">
        <x:v>LINE-01</x:v>
      </x:c>
      <x:c r="F7" s="12" t="n">
        <x:v>46290</x:v>
      </x:c>
      <x:c r="G7" s="12" t="n">
        <x:v>46309</x:v>
      </x:c>
      <x:c r="H7" s="12" t="n">
        <x:v>46309</x:v>
      </x:c>
      <x:c r="I7" t="n">
        <x:v>40</x:v>
      </x:c>
      <x:c r="J7" t="n">
        <x:v>40</x:v>
      </x:c>
      <x:c r="K7" t="n">
        <x:v>88</x:v>
      </x:c>
      <x:c r="L7" t="n">
        <x:f>I7*K7</x:f>
        <x:v>3520</x:v>
      </x:c>
      <x:c r="M7" t="n">
        <x:f>MAX(0,I7-J7)</x:f>
        <x:v>0</x:v>
      </x:c>
      <x:c r="N7" t="n">
        <x:f>M7*K7</x:f>
        <x:v>0</x:v>
      </x:c>
      <x:c r="O7" t="n">
        <x:f>IF(M7=0,0,H7-SETTINGS!$B$4)</x:f>
        <x:v>0</x:v>
      </x:c>
      <x:c r="P7" t="n">
        <x:f>IF(M7=0,0,MAX(0,SETTINGS!$B$4-F7))</x:f>
        <x:v>0</x:v>
      </x:c>
      <x:c r="Q7" t="str">
        <x:f>IF(M7=0,"Received",IF(J7&gt;0,"Partially Received","Open"))</x:f>
        <x:v>Received</x:v>
      </x:c>
      <x:c r="R7" t="str">
        <x:f>IF(M7=0,"Closed",IF(H7&lt;SETTINGS!$B$4,"High",IF(H7&lt;=SETTINGS!$B$4+SETTINGS!$B$5,"Watch","Normal")))</x:f>
        <x:v>Closed</x:v>
      </x:c>
      <x:c r="S7" t="str">
        <x:v>J. Lopez</x:v>
      </x:c>
      <x:c r="T7" s="12" t="n">
        <x:v>46309</x:v>
      </x:c>
      <x:c r="U7" t="str">
        <x:v>Close PO documentation</x:v>
      </x:c>
      <x:c r="V7" t="str">
        <x:v>Delivered complete</x:v>
      </x:c>
      <x:c r="W7" t="str"/>
      <x:c r="X7" t="str">
        <x:f>IF(COUNTIF(SUPPLIERS!$A$4:$A$100,B7)=0,"INVALID SUPPLIER",IF(AND(W7&lt;&gt;"",COUNTIF('RFQ EVALUATION'!$A$4:$A$100,W7)=0),"INVALID RFQ","OK"))</x:f>
        <x:v>OK</x:v>
      </x:c>
    </x:row>
    <x:row r="8">
      <x:c r="A8" t="str">
        <x:v>PO-26005</x:v>
      </x:c>
      <x:c r="B8" t="str">
        <x:v>SUP-B</x:v>
      </x:c>
      <x:c r="C8" t="str">
        <x:v>Supplier B</x:v>
      </x:c>
      <x:c r="D8" t="str">
        <x:v>Drive belts</x:v>
      </x:c>
      <x:c r="E8" t="str">
        <x:v>MRO</x:v>
      </x:c>
      <x:c r="F8" s="12" t="n">
        <x:v>46302</x:v>
      </x:c>
      <x:c r="G8" s="12" t="n">
        <x:v>46313</x:v>
      </x:c>
      <x:c r="H8" s="12" t="n">
        <x:v>46313</x:v>
      </x:c>
      <x:c r="I8" t="n">
        <x:v>25</x:v>
      </x:c>
      <x:c r="J8" t="n">
        <x:v>0</x:v>
      </x:c>
      <x:c r="K8" t="n">
        <x:v>95</x:v>
      </x:c>
      <x:c r="L8" t="n">
        <x:f>I8*K8</x:f>
        <x:v>2375</x:v>
      </x:c>
      <x:c r="M8" t="n">
        <x:f>MAX(0,I8-J8)</x:f>
        <x:v>25</x:v>
      </x:c>
      <x:c r="N8" t="n">
        <x:f>M8*K8</x:f>
        <x:v>2375</x:v>
      </x:c>
      <x:c r="O8" t="n">
        <x:f>IF(M8=0,0,H8-SETTINGS!$B$4)</x:f>
        <x:v>3</x:v>
      </x:c>
      <x:c r="P8" t="n">
        <x:f>IF(M8=0,0,MAX(0,SETTINGS!$B$4-F8))</x:f>
        <x:v>8</x:v>
      </x:c>
      <x:c r="Q8" t="str">
        <x:f>IF(M8=0,"Received",IF(J8&gt;0,"Partially Received","Open"))</x:f>
        <x:v>Open</x:v>
      </x:c>
      <x:c r="R8" t="str">
        <x:f>IF(M8=0,"Closed",IF(H8&lt;SETTINGS!$B$4,"High",IF(H8&lt;=SETTINGS!$B$4+SETTINGS!$B$5,"Watch","Normal")))</x:f>
        <x:v>Watch</x:v>
      </x:c>
      <x:c r="S8" t="str">
        <x:v>A. Martinez</x:v>
      </x:c>
      <x:c r="T8" s="12" t="n">
        <x:v>46309</x:v>
      </x:c>
      <x:c r="U8" t="str">
        <x:v>Confirm carrier booking</x:v>
      </x:c>
      <x:c r="V8" t="str">
        <x:v>Normal</x:v>
      </x:c>
      <x:c r="W8" t="str"/>
      <x:c r="X8" t="str">
        <x:f>IF(COUNTIF(SUPPLIERS!$A$4:$A$100,B8)=0,"INVALID SUPPLIER",IF(AND(W8&lt;&gt;"",COUNTIF('RFQ EVALUATION'!$A$4:$A$100,W8)=0),"INVALID RFQ","OK"))</x:f>
        <x:v>OK</x:v>
      </x:c>
    </x:row>
    <x:row r="9">
      <x:c r="A9" t="str">
        <x:v>PO-26006</x:v>
      </x:c>
      <x:c r="B9" t="str">
        <x:v>SUP-C</x:v>
      </x:c>
      <x:c r="C9" t="str">
        <x:v>Supplier C</x:v>
      </x:c>
      <x:c r="D9" t="str">
        <x:v>HMI panel</x:v>
      </x:c>
      <x:c r="E9" t="str">
        <x:v>PROJECT-B</x:v>
      </x:c>
      <x:c r="F9" s="12" t="n">
        <x:v>46288</x:v>
      </x:c>
      <x:c r="G9" s="12" t="n">
        <x:v>46305</x:v>
      </x:c>
      <x:c r="H9" s="12" t="n">
        <x:v>46316</x:v>
      </x:c>
      <x:c r="I9" t="n">
        <x:v>3</x:v>
      </x:c>
      <x:c r="J9" t="n">
        <x:v>0</x:v>
      </x:c>
      <x:c r="K9" t="n">
        <x:v>3100</x:v>
      </x:c>
      <x:c r="L9" t="n">
        <x:f>I9*K9</x:f>
        <x:v>9300</x:v>
      </x:c>
      <x:c r="M9" t="n">
        <x:f>MAX(0,I9-J9)</x:f>
        <x:v>3</x:v>
      </x:c>
      <x:c r="N9" t="n">
        <x:f>M9*K9</x:f>
        <x:v>9300</x:v>
      </x:c>
      <x:c r="O9" t="n">
        <x:f>IF(M9=0,0,H9-SETTINGS!$B$4)</x:f>
        <x:v>6</x:v>
      </x:c>
      <x:c r="P9" t="n">
        <x:f>IF(M9=0,0,MAX(0,SETTINGS!$B$4-F9))</x:f>
        <x:v>22</x:v>
      </x:c>
      <x:c r="Q9" t="str">
        <x:f>IF(M9=0,"Received",IF(J9&gt;0,"Partially Received","Open"))</x:f>
        <x:v>Open</x:v>
      </x:c>
      <x:c r="R9" t="str">
        <x:f>IF(M9=0,"Closed",IF(H9&lt;SETTINGS!$B$4,"High",IF(H9&lt;=SETTINGS!$B$4+SETTINGS!$B$5,"Watch","Normal")))</x:f>
        <x:v>Normal</x:v>
      </x:c>
      <x:c r="S9" t="str">
        <x:v>J. Lopez</x:v>
      </x:c>
      <x:c r="T9" s="12" t="n">
        <x:v>46307</x:v>
      </x:c>
      <x:c r="U9" t="str">
        <x:v>Escalate ETA change</x:v>
      </x:c>
      <x:c r="V9" t="str">
        <x:v>Engineering impacted</x:v>
      </x:c>
      <x:c r="W9" t="str"/>
      <x:c r="X9" t="str">
        <x:f>IF(COUNTIF(SUPPLIERS!$A$4:$A$100,B9)=0,"INVALID SUPPLIER",IF(AND(W9&lt;&gt;"",COUNTIF('RFQ EVALUATION'!$A$4:$A$100,W9)=0),"INVALID RFQ","OK"))</x:f>
        <x:v>OK</x:v>
      </x:c>
    </x:row>
    <x:row r="10">
      <x:c r="A10" t="str">
        <x:v>PO-26007</x:v>
      </x:c>
      <x:c r="B10" t="str">
        <x:v>SUP-A</x:v>
      </x:c>
      <x:c r="C10" t="str">
        <x:v>Supplier A</x:v>
      </x:c>
      <x:c r="D10" t="str">
        <x:v>Electrical connectors</x:v>
      </x:c>
      <x:c r="E10" t="str">
        <x:v>MRO</x:v>
      </x:c>
      <x:c r="F10" s="12" t="n">
        <x:v>46303</x:v>
      </x:c>
      <x:c r="G10" s="12" t="n">
        <x:v>46322</x:v>
      </x:c>
      <x:c r="H10" s="12" t="n">
        <x:v>46322</x:v>
      </x:c>
      <x:c r="I10" t="n">
        <x:v>200</x:v>
      </x:c>
      <x:c r="J10" t="n">
        <x:v>0</x:v>
      </x:c>
      <x:c r="K10" t="n">
        <x:v>14</x:v>
      </x:c>
      <x:c r="L10" t="n">
        <x:f>I10*K10</x:f>
        <x:v>2800</x:v>
      </x:c>
      <x:c r="M10" t="n">
        <x:f>MAX(0,I10-J10)</x:f>
        <x:v>200</x:v>
      </x:c>
      <x:c r="N10" t="n">
        <x:f>M10*K10</x:f>
        <x:v>2800</x:v>
      </x:c>
      <x:c r="O10" t="n">
        <x:f>IF(M10=0,0,H10-SETTINGS!$B$4)</x:f>
        <x:v>12</x:v>
      </x:c>
      <x:c r="P10" t="n">
        <x:f>IF(M10=0,0,MAX(0,SETTINGS!$B$4-F10))</x:f>
        <x:v>7</x:v>
      </x:c>
      <x:c r="Q10" t="str">
        <x:f>IF(M10=0,"Received",IF(J10&gt;0,"Partially Received","Open"))</x:f>
        <x:v>Open</x:v>
      </x:c>
      <x:c r="R10" t="str">
        <x:f>IF(M10=0,"Closed",IF(H10&lt;SETTINGS!$B$4,"High",IF(H10&lt;=SETTINGS!$B$4+SETTINGS!$B$5,"Watch","Normal")))</x:f>
        <x:v>Normal</x:v>
      </x:c>
      <x:c r="S10" t="str">
        <x:v>A. Martinez</x:v>
      </x:c>
      <x:c r="T10" s="12" t="n">
        <x:v>46309</x:v>
      </x:c>
      <x:c r="U10" t="str">
        <x:v>Monitor</x:v>
      </x:c>
      <x:c r="V10" t="str">
        <x:v>Low exposure</x:v>
      </x:c>
      <x:c r="W10" t="str"/>
      <x:c r="X10" t="str">
        <x:f>IF(COUNTIF(SUPPLIERS!$A$4:$A$100,B10)=0,"INVALID SUPPLIER",IF(AND(W10&lt;&gt;"",COUNTIF('RFQ EVALUATION'!$A$4:$A$100,W10)=0),"INVALID RFQ","OK"))</x:f>
        <x:v>OK</x:v>
      </x:c>
    </x:row>
    <x:row r="11">
      <x:c r="A11" t="str">
        <x:v>PO-26008</x:v>
      </x:c>
      <x:c r="B11" t="str">
        <x:v>SUP-B</x:v>
      </x:c>
      <x:c r="C11" t="str">
        <x:v>Supplier B</x:v>
      </x:c>
      <x:c r="D11" t="str">
        <x:v>Air preparation units</x:v>
      </x:c>
      <x:c r="E11" t="str">
        <x:v>LINE-03</x:v>
      </x:c>
      <x:c r="F11" s="12" t="n">
        <x:v>46286</x:v>
      </x:c>
      <x:c r="G11" s="12" t="n">
        <x:v>46306</x:v>
      </x:c>
      <x:c r="H11" s="12" t="n">
        <x:v>46306</x:v>
      </x:c>
      <x:c r="I11" t="n">
        <x:v>12</x:v>
      </x:c>
      <x:c r="J11" t="n">
        <x:v>12</x:v>
      </x:c>
      <x:c r="K11" t="n">
        <x:v>410</x:v>
      </x:c>
      <x:c r="L11" t="n">
        <x:f>I11*K11</x:f>
        <x:v>4920</x:v>
      </x:c>
      <x:c r="M11" t="n">
        <x:f>MAX(0,I11-J11)</x:f>
        <x:v>0</x:v>
      </x:c>
      <x:c r="N11" t="n">
        <x:f>M11*K11</x:f>
        <x:v>0</x:v>
      </x:c>
      <x:c r="O11" t="n">
        <x:f>IF(M11=0,0,H11-SETTINGS!$B$4)</x:f>
        <x:v>0</x:v>
      </x:c>
      <x:c r="P11" t="n">
        <x:f>IF(M11=0,0,MAX(0,SETTINGS!$B$4-F11))</x:f>
        <x:v>0</x:v>
      </x:c>
      <x:c r="Q11" t="str">
        <x:f>IF(M11=0,"Received",IF(J11&gt;0,"Partially Received","Open"))</x:f>
        <x:v>Received</x:v>
      </x:c>
      <x:c r="R11" t="str">
        <x:f>IF(M11=0,"Closed",IF(H11&lt;SETTINGS!$B$4,"High",IF(H11&lt;=SETTINGS!$B$4+SETTINGS!$B$5,"Watch","Normal")))</x:f>
        <x:v>Closed</x:v>
      </x:c>
      <x:c r="S11" t="str">
        <x:v>J. Lopez</x:v>
      </x:c>
      <x:c r="T11" s="12" t="n">
        <x:v>46308</x:v>
      </x:c>
      <x:c r="U11" t="str">
        <x:v>Archive receipt</x:v>
      </x:c>
      <x:c r="V11" t="str">
        <x:v>Delivered</x:v>
      </x:c>
      <x:c r="W11" t="str"/>
      <x:c r="X11" t="str">
        <x:f>IF(COUNTIF(SUPPLIERS!$A$4:$A$100,B11)=0,"INVALID SUPPLIER",IF(AND(W11&lt;&gt;"",COUNTIF('RFQ EVALUATION'!$A$4:$A$100,W11)=0),"INVALID RFQ","OK"))</x:f>
        <x:v>OK</x:v>
      </x:c>
    </x:row>
    <x:row r="12">
      <x:c r="A12" t="str">
        <x:v>PO-26009</x:v>
      </x:c>
      <x:c r="B12" t="str">
        <x:v>SUP-C</x:v>
      </x:c>
      <x:c r="C12" t="str">
        <x:v>Supplier C</x:v>
      </x:c>
      <x:c r="D12" t="str">
        <x:v>Encoder modules</x:v>
      </x:c>
      <x:c r="E12" t="str">
        <x:v>PROJECT-A</x:v>
      </x:c>
      <x:c r="F12" s="12" t="n">
        <x:v>46295</x:v>
      </x:c>
      <x:c r="G12" s="12" t="n">
        <x:v>46312</x:v>
      </x:c>
      <x:c r="H12" s="12" t="n">
        <x:v>46311</x:v>
      </x:c>
      <x:c r="I12" t="n">
        <x:v>8</x:v>
      </x:c>
      <x:c r="J12" t="n">
        <x:v>0</x:v>
      </x:c>
      <x:c r="K12" t="n">
        <x:v>680</x:v>
      </x:c>
      <x:c r="L12" t="n">
        <x:f>I12*K12</x:f>
        <x:v>5440</x:v>
      </x:c>
      <x:c r="M12" t="n">
        <x:f>MAX(0,I12-J12)</x:f>
        <x:v>8</x:v>
      </x:c>
      <x:c r="N12" t="n">
        <x:f>M12*K12</x:f>
        <x:v>5440</x:v>
      </x:c>
      <x:c r="O12" t="n">
        <x:f>IF(M12=0,0,H12-SETTINGS!$B$4)</x:f>
        <x:v>1</x:v>
      </x:c>
      <x:c r="P12" t="n">
        <x:f>IF(M12=0,0,MAX(0,SETTINGS!$B$4-F12))</x:f>
        <x:v>15</x:v>
      </x:c>
      <x:c r="Q12" t="str">
        <x:f>IF(M12=0,"Received",IF(J12&gt;0,"Partially Received","Open"))</x:f>
        <x:v>Open</x:v>
      </x:c>
      <x:c r="R12" t="str">
        <x:f>IF(M12=0,"Closed",IF(H12&lt;SETTINGS!$B$4,"High",IF(H12&lt;=SETTINGS!$B$4+SETTINGS!$B$5,"Watch","Normal")))</x:f>
        <x:v>Watch</x:v>
      </x:c>
      <x:c r="S12" t="str">
        <x:v>A. Martinez</x:v>
      </x:c>
      <x:c r="T12" s="12" t="n">
        <x:v>46309</x:v>
      </x:c>
      <x:c r="U12" t="str">
        <x:v>Obtain shipment confirmation</x:v>
      </x:c>
      <x:c r="V12" t="str">
        <x:v>Near due</x:v>
      </x:c>
      <x:c r="W12" t="str"/>
      <x:c r="X12" t="str">
        <x:f>IF(COUNTIF(SUPPLIERS!$A$4:$A$100,B12)=0,"INVALID SUPPLIER",IF(AND(W12&lt;&gt;"",COUNTIF('RFQ EVALUATION'!$A$4:$A$100,W12)=0),"INVALID RFQ","OK"))</x:f>
        <x:v>OK</x:v>
      </x:c>
    </x:row>
    <x:row r="13">
      <x:c r="A13" t="str">
        <x:v>PO-26010</x:v>
      </x:c>
      <x:c r="B13" t="str">
        <x:v>SUP-A</x:v>
      </x:c>
      <x:c r="C13" t="str">
        <x:v>Supplier A</x:v>
      </x:c>
      <x:c r="D13" t="str">
        <x:v>Linear actuators</x:v>
      </x:c>
      <x:c r="E13" t="str">
        <x:v>PROJECT-C</x:v>
      </x:c>
      <x:c r="F13" s="12" t="n">
        <x:v>46296</x:v>
      </x:c>
      <x:c r="G13" s="12" t="n">
        <x:v>46325</x:v>
      </x:c>
      <x:c r="H13" s="12" t="n">
        <x:v>46325</x:v>
      </x:c>
      <x:c r="I13" t="n">
        <x:v>6</x:v>
      </x:c>
      <x:c r="J13" t="n">
        <x:v>0</x:v>
      </x:c>
      <x:c r="K13" t="n">
        <x:v>1760</x:v>
      </x:c>
      <x:c r="L13" t="n">
        <x:f>I13*K13</x:f>
        <x:v>10560</x:v>
      </x:c>
      <x:c r="M13" t="n">
        <x:f>MAX(0,I13-J13)</x:f>
        <x:v>6</x:v>
      </x:c>
      <x:c r="N13" t="n">
        <x:f>M13*K13</x:f>
        <x:v>10560</x:v>
      </x:c>
      <x:c r="O13" t="n">
        <x:f>IF(M13=0,0,H13-SETTINGS!$B$4)</x:f>
        <x:v>15</x:v>
      </x:c>
      <x:c r="P13" t="n">
        <x:f>IF(M13=0,0,MAX(0,SETTINGS!$B$4-F13))</x:f>
        <x:v>14</x:v>
      </x:c>
      <x:c r="Q13" t="str">
        <x:f>IF(M13=0,"Received",IF(J13&gt;0,"Partially Received","Open"))</x:f>
        <x:v>Open</x:v>
      </x:c>
      <x:c r="R13" t="str">
        <x:f>IF(M13=0,"Closed",IF(H13&lt;SETTINGS!$B$4,"High",IF(H13&lt;=SETTINGS!$B$4+SETTINGS!$B$5,"Watch","Normal")))</x:f>
        <x:v>Normal</x:v>
      </x:c>
      <x:c r="S13" t="str">
        <x:v>J. Lopez</x:v>
      </x:c>
      <x:c r="T13" s="12" t="n">
        <x:v>46308</x:v>
      </x:c>
      <x:c r="U13" t="str">
        <x:v>Check manufacturing status</x:v>
      </x:c>
      <x:c r="V13" t="str">
        <x:v>Project installation scheduled</x:v>
      </x:c>
      <x:c r="W13" t="str"/>
      <x:c r="X13" t="str">
        <x:f>IF(COUNTIF(SUPPLIERS!$A$4:$A$100,B13)=0,"INVALID SUPPLIER",IF(AND(W13&lt;&gt;"",COUNTIF('RFQ EVALUATION'!$A$4:$A$100,W13)=0),"INVALID RFQ","OK"))</x:f>
        <x:v>OK</x:v>
      </x:c>
    </x:row>
    <x:row r="14">
      <x:c r="F14" s="12"/>
      <x:c r="G14" s="12"/>
      <x:c r="H14" s="12"/>
      <x:c r="T14" s="12"/>
    </x:row>
    <x:row r="15">
      <x:c r="F15" s="12"/>
      <x:c r="G15" s="12"/>
      <x:c r="H15" s="12"/>
      <x:c r="T15" s="12"/>
    </x:row>
    <x:row r="16">
      <x:c r="F16" s="12"/>
      <x:c r="G16" s="12"/>
      <x:c r="H16" s="12"/>
      <x:c r="T16" s="12"/>
    </x:row>
    <x:row r="17">
      <x:c r="F17" s="12"/>
      <x:c r="G17" s="12"/>
      <x:c r="H17" s="12"/>
      <x:c r="T17" s="12"/>
    </x:row>
    <x:row r="18">
      <x:c r="F18" s="12"/>
      <x:c r="G18" s="12"/>
      <x:c r="H18" s="12"/>
      <x:c r="T18" s="12"/>
    </x:row>
    <x:row r="19">
      <x:c r="F19" s="12"/>
      <x:c r="G19" s="12"/>
      <x:c r="H19" s="12"/>
      <x:c r="T19" s="12"/>
    </x:row>
    <x:row r="20">
      <x:c r="F20" s="12"/>
      <x:c r="G20" s="12"/>
      <x:c r="H20" s="12"/>
      <x:c r="T20" s="12"/>
    </x:row>
    <x:row r="21">
      <x:c r="F21" s="12"/>
      <x:c r="G21" s="12"/>
      <x:c r="H21" s="12"/>
      <x:c r="T21" s="12"/>
    </x:row>
    <x:row r="22">
      <x:c r="F22" s="12"/>
      <x:c r="G22" s="12"/>
      <x:c r="H22" s="12"/>
      <x:c r="T22" s="12"/>
    </x:row>
    <x:row r="23">
      <x:c r="F23" s="12"/>
      <x:c r="G23" s="12"/>
      <x:c r="H23" s="12"/>
      <x:c r="T23" s="12"/>
    </x:row>
    <x:row r="24">
      <x:c r="F24" s="12"/>
      <x:c r="G24" s="12"/>
      <x:c r="H24" s="12"/>
      <x:c r="T24" s="12"/>
    </x:row>
    <x:row r="25">
      <x:c r="F25" s="12"/>
      <x:c r="G25" s="12"/>
      <x:c r="H25" s="12"/>
      <x:c r="T25" s="12"/>
    </x:row>
    <x:row r="26">
      <x:c r="F26" s="12"/>
      <x:c r="G26" s="12"/>
      <x:c r="H26" s="12"/>
      <x:c r="T26" s="12"/>
    </x:row>
    <x:row r="27">
      <x:c r="F27" s="12"/>
      <x:c r="G27" s="12"/>
      <x:c r="H27" s="12"/>
      <x:c r="T27" s="12"/>
    </x:row>
    <x:row r="28">
      <x:c r="F28" s="12"/>
      <x:c r="G28" s="12"/>
      <x:c r="H28" s="12"/>
      <x:c r="T28" s="12"/>
    </x:row>
    <x:row r="29">
      <x:c r="F29" s="12"/>
      <x:c r="G29" s="12"/>
      <x:c r="H29" s="12"/>
      <x:c r="T29" s="12"/>
    </x:row>
    <x:row r="30">
      <x:c r="F30" s="12"/>
      <x:c r="G30" s="12"/>
      <x:c r="H30" s="12"/>
      <x:c r="T30" s="12"/>
    </x:row>
    <x:row r="31">
      <x:c r="F31" s="12"/>
      <x:c r="G31" s="12"/>
      <x:c r="H31" s="12"/>
      <x:c r="T31" s="12"/>
    </x:row>
    <x:row r="32">
      <x:c r="F32" s="12"/>
      <x:c r="G32" s="12"/>
      <x:c r="H32" s="12"/>
      <x:c r="T32" s="12"/>
    </x:row>
    <x:row r="33">
      <x:c r="F33" s="12"/>
      <x:c r="G33" s="12"/>
      <x:c r="H33" s="12"/>
      <x:c r="T33" s="12"/>
    </x:row>
    <x:row r="34">
      <x:c r="F34" s="12"/>
      <x:c r="G34" s="12"/>
      <x:c r="H34" s="12"/>
      <x:c r="T34" s="12"/>
    </x:row>
    <x:row r="35">
      <x:c r="F35" s="12"/>
      <x:c r="G35" s="12"/>
      <x:c r="H35" s="12"/>
      <x:c r="T35" s="12"/>
    </x:row>
    <x:row r="36">
      <x:c r="F36" s="12"/>
      <x:c r="G36" s="12"/>
      <x:c r="H36" s="12"/>
      <x:c r="T36" s="12"/>
    </x:row>
    <x:row r="37">
      <x:c r="F37" s="12"/>
      <x:c r="G37" s="12"/>
      <x:c r="H37" s="12"/>
      <x:c r="T37" s="12"/>
    </x:row>
    <x:row r="38">
      <x:c r="F38" s="12"/>
      <x:c r="G38" s="12"/>
      <x:c r="H38" s="12"/>
      <x:c r="T38" s="12"/>
    </x:row>
    <x:row r="39">
      <x:c r="F39" s="12"/>
      <x:c r="G39" s="12"/>
      <x:c r="H39" s="12"/>
      <x:c r="T39" s="12"/>
    </x:row>
    <x:row r="40">
      <x:c r="F40" s="12"/>
      <x:c r="G40" s="12"/>
      <x:c r="H40" s="12"/>
      <x:c r="T40" s="12"/>
    </x:row>
    <x:row r="41">
      <x:c r="F41" s="12"/>
      <x:c r="G41" s="12"/>
      <x:c r="H41" s="12"/>
      <x:c r="T41" s="12"/>
    </x:row>
    <x:row r="42">
      <x:c r="F42" s="12"/>
      <x:c r="G42" s="12"/>
      <x:c r="H42" s="12"/>
      <x:c r="T42" s="12"/>
    </x:row>
    <x:row r="43">
      <x:c r="F43" s="12"/>
      <x:c r="G43" s="12"/>
      <x:c r="H43" s="12"/>
      <x:c r="T43" s="12"/>
    </x:row>
    <x:row r="44">
      <x:c r="F44" s="12"/>
      <x:c r="G44" s="12"/>
      <x:c r="H44" s="12"/>
      <x:c r="T44" s="12"/>
    </x:row>
    <x:row r="45">
      <x:c r="F45" s="12"/>
      <x:c r="G45" s="12"/>
      <x:c r="H45" s="12"/>
      <x:c r="T45" s="12"/>
    </x:row>
    <x:row r="46">
      <x:c r="F46" s="12"/>
      <x:c r="G46" s="12"/>
      <x:c r="H46" s="12"/>
      <x:c r="T46" s="12"/>
    </x:row>
    <x:row r="47">
      <x:c r="F47" s="12"/>
      <x:c r="G47" s="12"/>
      <x:c r="H47" s="12"/>
      <x:c r="T47" s="12"/>
    </x:row>
    <x:row r="48">
      <x:c r="F48" s="12"/>
      <x:c r="G48" s="12"/>
      <x:c r="H48" s="12"/>
      <x:c r="T48" s="12"/>
    </x:row>
    <x:row r="49">
      <x:c r="F49" s="12"/>
      <x:c r="G49" s="12"/>
      <x:c r="H49" s="12"/>
      <x:c r="T49" s="12"/>
    </x:row>
    <x:row r="50">
      <x:c r="F50" s="12"/>
      <x:c r="G50" s="12"/>
      <x:c r="H50" s="12"/>
      <x:c r="T5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EVOF | Supply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 ht="35" customHeight="1">
      <x:c r="A3" s="8" t="str">
        <x:v>Risk ID</x:v>
      </x:c>
      <x:c r="B3" s="8" t="str">
        <x:v>Related PO ID</x:v>
      </x:c>
      <x:c r="C3" s="8" t="str">
        <x:v>Category</x:v>
      </x:c>
      <x:c r="D3" s="8" t="str">
        <x:v>Description</x:v>
      </x:c>
      <x:c r="E3" s="8" t="str">
        <x:v>Likelihood 1-5</x:v>
      </x:c>
      <x:c r="F3" s="8" t="str">
        <x:v>Impact 1-5</x:v>
      </x:c>
      <x:c r="G3" s="8" t="str">
        <x:v>Risk Score</x:v>
      </x:c>
      <x:c r="H3" s="8" t="str">
        <x:v>Priority</x:v>
      </x:c>
      <x:c r="I3" s="8" t="str">
        <x:v>Owner</x:v>
      </x:c>
      <x:c r="J3" s="8" t="str">
        <x:v>Mitigation / Contingency</x:v>
      </x:c>
      <x:c r="K3" s="8" t="str">
        <x:v>Next Action</x:v>
      </x:c>
      <x:c r="L3" s="8" t="str">
        <x:v>Action Due</x:v>
      </x:c>
      <x:c r="M3" s="8" t="str">
        <x:v>Status</x:v>
      </x:c>
      <x:c r="N3" s="8" t="str">
        <x:v>Last Reviewed</x:v>
      </x:c>
      <x:c r="O3" s="8" t="str">
        <x:v>Escalation</x:v>
      </x:c>
      <x:c r="P3" s="8" t="str">
        <x:v>Evidence / Notes</x:v>
      </x:c>
      <x:c r="Q3" s="8" t="str">
        <x:v>PO Link Check</x:v>
      </x:c>
    </x:row>
    <x:row r="4">
      <x:c r="A4" t="str">
        <x:v>R-001</x:v>
      </x:c>
      <x:c r="B4" t="str">
        <x:v>PO-26001</x:v>
      </x:c>
      <x:c r="C4" t="str">
        <x:v>Late Delivery</x:v>
      </x:c>
      <x:c r="D4" t="str">
        <x:v>Remaining servo assemblies delayed</x:v>
      </x:c>
      <x:c r="E4" t="n">
        <x:v>4</x:v>
      </x:c>
      <x:c r="F4" t="n">
        <x:v>4</x:v>
      </x:c>
      <x:c r="G4" t="n">
        <x:f>E4*F4</x:f>
        <x:v>16</x:v>
      </x:c>
      <x:c r="H4" t="str">
        <x:f>IF(G4&gt;=SETTINGS!$B$7,"Critical",IF(G4&gt;=SETTINGS!$B$6,"High",IF(G4&gt;=6,"Medium","Low")))</x:f>
        <x:v>Critical</x:v>
      </x:c>
      <x:c r="I4" t="str">
        <x:v>A. Martinez</x:v>
      </x:c>
      <x:c r="J4" t="str">
        <x:v>Expedite partial shipment and assess alternate stock</x:v>
      </x:c>
      <x:c r="K4" t="str">
        <x:v>Confirm carrier pickup</x:v>
      </x:c>
      <x:c r="L4" s="12" t="n">
        <x:v>46311</x:v>
      </x:c>
      <x:c r="M4" t="str">
        <x:v>In Progress</x:v>
      </x:c>
      <x:c r="N4" s="12" t="n">
        <x:v>46309</x:v>
      </x:c>
      <x:c r="O4" t="str">
        <x:v>Project Manager</x:v>
      </x:c>
      <x:c r="P4" t="str">
        <x:v>6 outstanding</x:v>
      </x:c>
      <x:c r="Q4" t="str">
        <x:f>IF(COUNTIF('PO MASTER'!$A$4:$A$103,B4)=1,"LINKED","INVALID PO")</x:f>
        <x:v>LINKED</x:v>
      </x:c>
    </x:row>
    <x:row r="5">
      <x:c r="A5" t="str">
        <x:v>R-002</x:v>
      </x:c>
      <x:c r="B5" t="str">
        <x:v>PO-26002</x:v>
      </x:c>
      <x:c r="C5" t="str">
        <x:v>Supplier Capacity</x:v>
      </x:c>
      <x:c r="D5" t="str">
        <x:v>Revised ETA beyond requested due date</x:v>
      </x:c>
      <x:c r="E5" t="n">
        <x:v>4</x:v>
      </x:c>
      <x:c r="F5" t="n">
        <x:v>3</x:v>
      </x:c>
      <x:c r="G5" t="n">
        <x:f>E5*F5</x:f>
        <x:v>12</x:v>
      </x:c>
      <x:c r="H5" t="str">
        <x:f>IF(G5&gt;=SETTINGS!$B$7,"Critical",IF(G5&gt;=SETTINGS!$B$6,"High",IF(G5&gt;=6,"Medium","Low")))</x:f>
        <x:v>High</x:v>
      </x:c>
      <x:c r="I5" t="str">
        <x:v>A. Martinez</x:v>
      </x:c>
      <x:c r="J5" t="str">
        <x:v>Request recovery schedule; evaluate split shipment</x:v>
      </x:c>
      <x:c r="K5" t="str">
        <x:v>Supplier escalation call</x:v>
      </x:c>
      <x:c r="L5" s="12" t="n">
        <x:v>46312</x:v>
      </x:c>
      <x:c r="M5" t="str">
        <x:v>Open</x:v>
      </x:c>
      <x:c r="N5" s="12" t="n">
        <x:v>46310</x:v>
      </x:c>
      <x:c r="O5" t="str">
        <x:v>Purchasing Lead</x:v>
      </x:c>
      <x:c r="P5" t="str">
        <x:v>Supplier B capacity</x:v>
      </x:c>
      <x:c r="Q5" t="str">
        <x:f>IF(COUNTIF('PO MASTER'!$A$4:$A$103,B5)=1,"LINKED","INVALID PO")</x:f>
        <x:v>LINKED</x:v>
      </x:c>
    </x:row>
    <x:row r="6">
      <x:c r="A6" t="str">
        <x:v>R-003</x:v>
      </x:c>
      <x:c r="B6" t="str">
        <x:v>PO-26006</x:v>
      </x:c>
      <x:c r="C6" t="str">
        <x:v>Project Delay</x:v>
      </x:c>
      <x:c r="D6" t="str">
        <x:v>HMI late arrival threatens commissioning</x:v>
      </x:c>
      <x:c r="E6" t="n">
        <x:v>5</x:v>
      </x:c>
      <x:c r="F6" t="n">
        <x:v>5</x:v>
      </x:c>
      <x:c r="G6" t="n">
        <x:f>E6*F6</x:f>
        <x:v>25</x:v>
      </x:c>
      <x:c r="H6" t="str">
        <x:f>IF(G6&gt;=SETTINGS!$B$7,"Critical",IF(G6&gt;=SETTINGS!$B$6,"High",IF(G6&gt;=6,"Medium","Low")))</x:f>
        <x:v>Critical</x:v>
      </x:c>
      <x:c r="I6" t="str">
        <x:v>J. Lopez</x:v>
      </x:c>
      <x:c r="J6" t="str">
        <x:v>Validate substitute and reschedule install sequence</x:v>
      </x:c>
      <x:c r="K6" t="str">
        <x:v>Engineering approval</x:v>
      </x:c>
      <x:c r="L6" s="12" t="n">
        <x:v>46311</x:v>
      </x:c>
      <x:c r="M6" t="str">
        <x:v>In Progress</x:v>
      </x:c>
      <x:c r="N6" s="12" t="n">
        <x:v>46310</x:v>
      </x:c>
      <x:c r="O6" t="str">
        <x:v>Operations Manager</x:v>
      </x:c>
      <x:c r="P6" t="str">
        <x:v>Critical path</x:v>
      </x:c>
      <x:c r="Q6" t="str">
        <x:f>IF(COUNTIF('PO MASTER'!$A$4:$A$103,B6)=1,"LINKED","INVALID PO")</x:f>
        <x:v>LINKED</x:v>
      </x:c>
    </x:row>
    <x:row r="7">
      <x:c r="A7" t="str">
        <x:v>R-004</x:v>
      </x:c>
      <x:c r="B7" t="str">
        <x:v>PO-26003</x:v>
      </x:c>
      <x:c r="C7" t="str">
        <x:v>Single Source</x:v>
      </x:c>
      <x:c r="D7" t="str">
        <x:v>PLC available from one qualified supplier</x:v>
      </x:c>
      <x:c r="E7" t="n">
        <x:v>3</x:v>
      </x:c>
      <x:c r="F7" t="n">
        <x:v>5</x:v>
      </x:c>
      <x:c r="G7" t="n">
        <x:f>E7*F7</x:f>
        <x:v>15</x:v>
      </x:c>
      <x:c r="H7" t="str">
        <x:f>IF(G7&gt;=SETTINGS!$B$7,"Critical",IF(G7&gt;=SETTINGS!$B$6,"High",IF(G7&gt;=6,"Medium","Low")))</x:f>
        <x:v>High</x:v>
      </x:c>
      <x:c r="I7" t="str">
        <x:v>J. Lopez</x:v>
      </x:c>
      <x:c r="J7" t="str">
        <x:v>Validate backup qualified option</x:v>
      </x:c>
      <x:c r="K7" t="str">
        <x:v>Check second-source feasibility</x:v>
      </x:c>
      <x:c r="L7" s="12" t="n">
        <x:v>46315</x:v>
      </x:c>
      <x:c r="M7" t="str">
        <x:v>Open</x:v>
      </x:c>
      <x:c r="N7" s="12" t="n">
        <x:v>46308</x:v>
      </x:c>
      <x:c r="O7" t="str">
        <x:v>Engineering</x:v>
      </x:c>
      <x:c r="P7" t="str">
        <x:v>Qualification needed</x:v>
      </x:c>
      <x:c r="Q7" t="str">
        <x:f>IF(COUNTIF('PO MASTER'!$A$4:$A$103,B7)=1,"LINKED","INVALID PO")</x:f>
        <x:v>LINKED</x:v>
      </x:c>
    </x:row>
    <x:row r="8">
      <x:c r="A8" t="str">
        <x:v>R-005</x:v>
      </x:c>
      <x:c r="B8" t="str">
        <x:v>PO-26009</x:v>
      </x:c>
      <x:c r="C8" t="str">
        <x:v>Logistics</x:v>
      </x:c>
      <x:c r="D8" t="str">
        <x:v>Encoder shipment confirmation pending</x:v>
      </x:c>
      <x:c r="E8" t="n">
        <x:v>2</x:v>
      </x:c>
      <x:c r="F8" t="n">
        <x:v>3</x:v>
      </x:c>
      <x:c r="G8" t="n">
        <x:f>E8*F8</x:f>
        <x:v>6</x:v>
      </x:c>
      <x:c r="H8" t="str">
        <x:f>IF(G8&gt;=SETTINGS!$B$7,"Critical",IF(G8&gt;=SETTINGS!$B$6,"High",IF(G8&gt;=6,"Medium","Low")))</x:f>
        <x:v>Medium</x:v>
      </x:c>
      <x:c r="I8" t="str">
        <x:v>A. Martinez</x:v>
      </x:c>
      <x:c r="J8" t="str">
        <x:v>Obtain AWB and transit milestones</x:v>
      </x:c>
      <x:c r="K8" t="str">
        <x:v>Request tracking ID</x:v>
      </x:c>
      <x:c r="L8" s="12" t="n">
        <x:v>46311</x:v>
      </x:c>
      <x:c r="M8" t="str">
        <x:v>Open</x:v>
      </x:c>
      <x:c r="N8" s="12" t="n">
        <x:v>46310</x:v>
      </x:c>
      <x:c r="O8" t="str">
        <x:v>Buyer</x:v>
      </x:c>
      <x:c r="P8" t="str">
        <x:v>Monitor</x:v>
      </x:c>
      <x:c r="Q8" t="str">
        <x:f>IF(COUNTIF('PO MASTER'!$A$4:$A$103,B8)=1,"LINKED","INVALID PO")</x:f>
        <x:v>LINKED</x:v>
      </x:c>
    </x:row>
    <x:row r="9">
      <x:c r="L9" s="12"/>
      <x:c r="N9" s="12"/>
    </x:row>
    <x:row r="10">
      <x:c r="L10" s="12"/>
      <x:c r="N10" s="12"/>
    </x:row>
    <x:row r="11">
      <x:c r="L11" s="12"/>
      <x:c r="N11" s="12"/>
    </x:row>
    <x:row r="12">
      <x:c r="L12" s="12"/>
      <x:c r="N12" s="12"/>
    </x:row>
    <x:row r="13">
      <x:c r="L13" s="12"/>
      <x:c r="N13" s="12"/>
    </x:row>
    <x:row r="14">
      <x:c r="L14" s="12"/>
      <x:c r="N14" s="12"/>
    </x:row>
    <x:row r="15">
      <x:c r="L15" s="12"/>
      <x:c r="N15" s="12"/>
    </x:row>
    <x:row r="16">
      <x:c r="L16" s="12"/>
      <x:c r="N16" s="12"/>
    </x:row>
    <x:row r="17">
      <x:c r="L17" s="12"/>
      <x:c r="N17" s="12"/>
    </x:row>
    <x:row r="18">
      <x:c r="L18" s="12"/>
      <x:c r="N18" s="12"/>
    </x:row>
    <x:row r="19">
      <x:c r="L19" s="12"/>
      <x:c r="N19" s="12"/>
    </x:row>
    <x:row r="20">
      <x:c r="L20" s="12"/>
      <x:c r="N20" s="12"/>
    </x:row>
    <x:row r="21">
      <x:c r="L21" s="12"/>
      <x:c r="N21" s="12"/>
    </x:row>
    <x:row r="22">
      <x:c r="L22" s="12"/>
      <x:c r="N22" s="12"/>
    </x:row>
    <x:row r="23">
      <x:c r="L23" s="12"/>
      <x:c r="N23" s="12"/>
    </x:row>
    <x:row r="24">
      <x:c r="L24" s="12"/>
      <x:c r="N24" s="12"/>
    </x:row>
    <x:row r="25">
      <x:c r="L25" s="12"/>
      <x:c r="N25" s="12"/>
    </x:row>
    <x:row r="26">
      <x:c r="L26" s="12"/>
      <x:c r="N26" s="12"/>
    </x:row>
    <x:row r="27">
      <x:c r="L27" s="12"/>
      <x:c r="N27" s="12"/>
    </x:row>
    <x:row r="28">
      <x:c r="L28" s="12"/>
      <x:c r="N28" s="12"/>
    </x:row>
    <x:row r="29">
      <x:c r="L29" s="12"/>
      <x:c r="N29" s="12"/>
    </x:row>
    <x:row r="30">
      <x:c r="L30" s="12"/>
      <x:c r="N30" s="12"/>
    </x:row>
    <x:row r="31">
      <x:c r="L31" s="12"/>
      <x:c r="N31" s="12"/>
    </x:row>
    <x:row r="32">
      <x:c r="L32" s="12"/>
      <x:c r="N32" s="12"/>
    </x:row>
    <x:row r="33">
      <x:c r="L33" s="12"/>
      <x:c r="N33" s="12"/>
    </x:row>
    <x:row r="34">
      <x:c r="L34" s="12"/>
      <x:c r="N34" s="12"/>
    </x:row>
    <x:row r="35">
      <x:c r="L35" s="12"/>
      <x:c r="N35" s="12"/>
    </x:row>
    <x:row r="36">
      <x:c r="L36" s="12"/>
      <x:c r="N36" s="12"/>
    </x:row>
    <x:row r="37">
      <x:c r="L37" s="12"/>
      <x:c r="N37" s="12"/>
    </x:row>
    <x:row r="38">
      <x:c r="L38" s="12"/>
      <x:c r="N38" s="12"/>
    </x:row>
    <x:row r="39">
      <x:c r="L39" s="12"/>
      <x:c r="N39" s="12"/>
    </x:row>
    <x:row r="40">
      <x:c r="L40" s="12"/>
      <x:c r="N40" s="12"/>
    </x:row>
    <x:row r="41">
      <x:c r="L41" s="12"/>
      <x:c r="N41" s="12"/>
    </x:row>
    <x:row r="42">
      <x:c r="L42" s="12"/>
      <x:c r="N42" s="12"/>
    </x:row>
    <x:row r="43">
      <x:c r="L43" s="12"/>
      <x:c r="N43" s="12"/>
    </x:row>
    <x:row r="44">
      <x:c r="L44" s="12"/>
      <x:c r="N44" s="12"/>
    </x:row>
    <x:row r="45">
      <x:c r="L45" s="12"/>
      <x:c r="N45" s="12"/>
    </x:row>
    <x:row r="46">
      <x:c r="L46" s="12"/>
      <x:c r="N46" s="12"/>
    </x:row>
    <x:row r="47">
      <x:c r="L47" s="12"/>
      <x:c r="N47" s="12"/>
    </x:row>
    <x:row r="48">
      <x:c r="L48" s="12"/>
      <x:c r="N48" s="12"/>
    </x:row>
    <x:row r="49">
      <x:c r="L49" s="12"/>
      <x:c r="N49" s="12"/>
    </x:row>
    <x:row r="50">
      <x:c r="L50" s="12"/>
      <x:c r="N5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" t="str">
        <x:v>EVOF | Live Supplier Scorecard</x:v>
      </x:c>
      <x:c r="B1" s="3"/>
      <x:c r="C1" s="3"/>
      <x:c r="D1" s="3"/>
      <x:c r="E1" s="3"/>
      <x:c r="F1" s="3"/>
      <x:c r="G1" s="3"/>
      <x:c r="H1" s="3"/>
    </x:row>
    <x:row r="3" ht="35" customHeight="1">
      <x:c r="A3" s="8" t="str">
        <x:v>Supplier ID</x:v>
      </x:c>
      <x:c r="B3" s="8" t="str">
        <x:v>Supplier</x:v>
      </x:c>
      <x:c r="C3" s="8" t="str">
        <x:v>PO Count</x:v>
      </x:c>
      <x:c r="D3" s="8" t="str">
        <x:v>PO Value USD</x:v>
      </x:c>
      <x:c r="E3" s="8" t="str">
        <x:v>Open Exposure USD</x:v>
      </x:c>
      <x:c r="F3" s="8" t="str">
        <x:v>High Delivery Risk POs</x:v>
      </x:c>
      <x:c r="G3" s="8" t="str">
        <x:v>Registered Risks</x:v>
      </x:c>
      <x:c r="H3" s="8" t="str">
        <x:v>Open Qty Units</x:v>
      </x:c>
    </x:row>
    <x:row r="4">
      <x:c r="A4" t="str">
        <x:f>SUPPLIERS!A4</x:f>
        <x:v>SUP-A</x:v>
      </x:c>
      <x:c r="B4" t="str">
        <x:f>SUPPLIERS!B4</x:f>
        <x:v>Supplier A</x:v>
      </x:c>
      <x:c r="C4" t="n">
        <x:f>COUNTIF('PO MASTER'!$B$4:$B$103,A4)</x:f>
        <x:v>4</x:v>
      </x:c>
      <x:c r="D4" t="n">
        <x:f>SUMIF('PO MASTER'!$B$4:$B$103,A4,'PO MASTER'!$L$4:$L$103)</x:f>
        <x:v>29680</x:v>
      </x:c>
      <x:c r="E4" t="n">
        <x:f>SUMIF('PO MASTER'!$B$4:$B$103,A4,'PO MASTER'!$N$4:$N$103)</x:f>
        <x:v>21040</x:v>
      </x:c>
      <x:c r="F4" t="n">
        <x:f>COUNTIFS('PO MASTER'!$B$4:$B$103,A4,'PO MASTER'!$R$4:$R$103,"High")</x:f>
        <x:v>1</x:v>
      </x:c>
      <x:c r="G4" t="n">
        <x:f>SUMPRODUCT(('PO MASTER'!$B$4:$B$13=A4)*COUNTIF('RISK REGISTER'!$B$4:$B$8,'PO MASTER'!$A$4:$A$13))</x:f>
        <x:v>0</x:v>
      </x:c>
      <x:c r="H4" t="n">
        <x:f>SUMIF('PO MASTER'!$B$4:$B$103,A4,'PO MASTER'!$M$4:$M$103)</x:f>
        <x:v>212</x:v>
      </x:c>
    </x:row>
    <x:row r="5">
      <x:c r="A5" t="str">
        <x:f>SUPPLIERS!A5</x:f>
        <x:v>SUP-B</x:v>
      </x:c>
      <x:c r="B5" t="str">
        <x:f>SUPPLIERS!B5</x:f>
        <x:v>Supplier B</x:v>
      </x:c>
      <x:c r="C5" t="n">
        <x:f>COUNTIF('PO MASTER'!$B$4:$B$103,A5)</x:f>
        <x:v>3</x:v>
      </x:c>
      <x:c r="D5" t="n">
        <x:f>SUMIF('PO MASTER'!$B$4:$B$103,A5,'PO MASTER'!$L$4:$L$103)</x:f>
        <x:v>15995</x:v>
      </x:c>
      <x:c r="E5" t="n">
        <x:f>SUMIF('PO MASTER'!$B$4:$B$103,A5,'PO MASTER'!$N$4:$N$103)</x:f>
        <x:v>11075</x:v>
      </x:c>
      <x:c r="F5" t="n">
        <x:f>COUNTIFS('PO MASTER'!$B$4:$B$103,A5,'PO MASTER'!$R$4:$R$103,"High")</x:f>
        <x:v>0</x:v>
      </x:c>
      <x:c r="G5" t="n">
        <x:f>SUMPRODUCT(('PO MASTER'!$B$4:$B$13=A5)*COUNTIF('RISK REGISTER'!$B$4:$B$8,'PO MASTER'!$A$4:$A$13))</x:f>
        <x:v>0</x:v>
      </x:c>
      <x:c r="H5" t="n">
        <x:f>SUMIF('PO MASTER'!$B$4:$B$103,A5,'PO MASTER'!$M$4:$M$103)</x:f>
        <x:v>85</x:v>
      </x:c>
    </x:row>
    <x:row r="6">
      <x:c r="A6" t="str">
        <x:f>SUPPLIERS!A6</x:f>
        <x:v>SUP-C</x:v>
      </x:c>
      <x:c r="B6" t="str">
        <x:f>SUPPLIERS!B6</x:f>
        <x:v>Supplier C</x:v>
      </x:c>
      <x:c r="C6" t="n">
        <x:f>COUNTIF('PO MASTER'!$B$4:$B$103,A6)</x:f>
        <x:v>3</x:v>
      </x:c>
      <x:c r="D6" t="n">
        <x:f>SUMIF('PO MASTER'!$B$4:$B$103,A6,'PO MASTER'!$L$4:$L$103)</x:f>
        <x:v>23740</x:v>
      </x:c>
      <x:c r="E6" t="n">
        <x:f>SUMIF('PO MASTER'!$B$4:$B$103,A6,'PO MASTER'!$N$4:$N$103)</x:f>
        <x:v>23740</x:v>
      </x:c>
      <x:c r="F6" t="n">
        <x:f>COUNTIFS('PO MASTER'!$B$4:$B$103,A6,'PO MASTER'!$R$4:$R$103,"High")</x:f>
        <x:v>0</x:v>
      </x:c>
      <x:c r="G6" t="n">
        <x:f>SUMPRODUCT(('PO MASTER'!$B$4:$B$13=A6)*COUNTIF('RISK REGISTER'!$B$4:$B$8,'PO MASTER'!$A$4:$A$13))</x:f>
        <x:v>0</x:v>
      </x:c>
      <x:c r="H6" t="n">
        <x:f>SUMIF('PO MASTER'!$B$4:$B$103,A6,'PO MASTER'!$M$4:$M$103)</x:f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2" customHeight="1">
      <x:c r="A1" s="3" t="str">
        <x:v>EVOF | Model Parameters</x:v>
      </x:c>
      <x:c r="B1" s="3"/>
      <x:c r="C1" s="3"/>
      <x:c r="D1" s="3"/>
    </x:row>
    <x:row r="3" ht="28" customHeight="1">
      <x:c r="A3" s="8" t="str">
        <x:v>Parameter</x:v>
      </x:c>
      <x:c r="B3" s="8" t="str">
        <x:v>Value</x:v>
      </x:c>
      <x:c r="C3" s="8" t="str">
        <x:v>Explanation</x:v>
      </x:c>
      <x:c r="D3" s="8" t="str"/>
    </x:row>
    <x:row r="4">
      <x:c r="A4" t="str">
        <x:v>As-of date</x:v>
      </x:c>
      <x:c r="B4" s="12" t="n">
        <x:v>46310</x:v>
      </x:c>
      <x:c r="C4" t="str">
        <x:v>Scenario date (Excel serial; 2026-10-15)</x:v>
      </x:c>
    </x:row>
    <x:row r="5">
      <x:c r="A5" t="str">
        <x:v>Watch window days</x:v>
      </x:c>
      <x:c r="B5" t="n">
        <x:v>5</x:v>
      </x:c>
      <x:c r="C5" t="str">
        <x:v>Alert when ETA is within this many days</x:v>
      </x:c>
    </x:row>
    <x:row r="6">
      <x:c r="A6" t="str">
        <x:v>High risk score</x:v>
      </x:c>
      <x:c r="B6" t="n">
        <x:v>12</x:v>
      </x:c>
      <x:c r="C6" t="str">
        <x:v>Likelihood × impact threshold</x:v>
      </x:c>
    </x:row>
    <x:row r="7">
      <x:c r="A7" t="str">
        <x:v>Critical risk score</x:v>
      </x:c>
      <x:c r="B7" t="n">
        <x:v>16</x:v>
      </x:c>
      <x:c r="C7" t="str">
        <x:v>Likelihood × impact threshold</x:v>
      </x:c>
    </x:row>
    <x:row r="8">
      <x:c r="A8" t="str">
        <x:v>Target on-time delivery</x:v>
      </x:c>
      <x:c r="B8" s="14" t="n">
        <x:v>0.95</x:v>
      </x:c>
      <x:c r="C8" t="str">
        <x:v>Target; actual OTD requires actual receipt dates</x:v>
      </x:c>
    </x:row>
    <x:row r="9">
      <x:c r="A9" t="str">
        <x:v>Currency</x:v>
      </x:c>
      <x:c r="B9" t="str">
        <x:v>USD</x:v>
      </x:c>
      <x:c r="C9" t="str">
        <x:v>Illustrative model currency</x:v>
      </x:c>
    </x:row>
    <x:row r="10">
      <x:c r="A10" t="str">
        <x:v>Scenario</x:v>
      </x:c>
      <x:c r="B10" t="str">
        <x:v>Fictional industrial procurement</x:v>
      </x:c>
      <x:c r="C10" t="str">
        <x:v>Independent portfolio project</x:v>
      </x:c>
    </x:row>
  </x:sheetData>
  <x:pageMargins left="0.7" right="0.7" top="0.75" bottom="0.75" header="0.3" footer="0.3"/>
</x:worksheet>
</file>